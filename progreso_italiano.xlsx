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las gramaticales" sheetId="1" state="visible" r:id="rId3"/>
    <sheet name="Temas y actividad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Fórmulas: D=promedio de Tanda A y B (ignora vacíos) · F=Sí solo si 3+ tandas ≥60% (por ahora imposible con 2 columnas, es intencional) · G=Débil &lt;40%, Medio 40-69%, Fuerte ≥70%.</t>
        </r>
      </text>
    </comment>
  </commentList>
</comments>
</file>

<file path=xl/sharedStrings.xml><?xml version="1.0" encoding="utf-8"?>
<sst xmlns="http://schemas.openxmlformats.org/spreadsheetml/2006/main" count="157" uniqueCount="126">
  <si>
    <t xml:space="preserve">A1 Italiano — Progreso de reglas gramaticales</t>
  </si>
  <si>
    <t xml:space="preserve">Meta: 70% dominado por regla. La regla se considera realmente alcanzada solo cuando al menos 3 tandas distintas reportan ≥60% (columna F). Con solo Tanda A y B cargadas, esa condición nunca se cumple todavía — es esperado que 'F' diga 'No' en toda la hoja por ahora; se irá activando a medida que agreguen columnas de tandas futuras.</t>
  </si>
  <si>
    <t xml:space="preserve">Regla gramatical</t>
  </si>
  <si>
    <t xml:space="preserve">Tanda A</t>
  </si>
  <si>
    <t xml:space="preserve">Tanda B</t>
  </si>
  <si>
    <t xml:space="preserve">Última evaluación</t>
  </si>
  <si>
    <t xml:space="preserve">Meta actual</t>
  </si>
  <si>
    <t xml:space="preserve">¿Meta alcanzada?</t>
  </si>
  <si>
    <t xml:space="preserve">Estado</t>
  </si>
  <si>
    <t xml:space="preserve">Fecha agregada</t>
  </si>
  <si>
    <t xml:space="preserve">Notas</t>
  </si>
  <si>
    <t xml:space="preserve">Artículos determinados</t>
  </si>
  <si>
    <t xml:space="preserve">Practicada a fondo (traducción, completar, corregir). Primer intento 42% -&gt; 60% final tras repasos. Error típico: usar 'lo' en vez de 'il' delante de consonante simple (ragazzo).</t>
  </si>
  <si>
    <t xml:space="preserve">Artículos indeterminados</t>
  </si>
  <si>
    <t xml:space="preserve">La más trabajada en repaso: 'un\'amica' se repitió 11 veces hasta acertar. Primer intento muy bajo (11%) pero terminó siendo la regla con mejor cierre (86%) — el repaso funcionó muy bien aquí.</t>
  </si>
  <si>
    <t xml:space="preserve">Género de los sustantivos</t>
  </si>
  <si>
    <t xml:space="preserve">Introducida en la Lección 1 de Práctica Inicial (clasificar maschile/femminile). Esa lección queda fuera del sistema de informes por diseño de la app, así que no hay datos medibles todavía — se refuerza indirectamente al elegir artículos.</t>
  </si>
  <si>
    <t xml:space="preserve">Singular y plural</t>
  </si>
  <si>
    <t xml:space="preserve">Aún no trabajada en esta tanda.</t>
  </si>
  <si>
    <t xml:space="preserve">Adjetivos y concordancia</t>
  </si>
  <si>
    <t xml:space="preserve">Punto débil real: primer intento 0% (todas falladas). Terminó en 60% tras repaso, pero con errores de ortografía frecuentes (picolo/piccolo, catto/gatto) más que de concordancia en sí.</t>
  </si>
  <si>
    <t xml:space="preserve">Pronombres personales</t>
  </si>
  <si>
    <t xml:space="preserve">Aún no trabajada como regla independiente (se usa dentro de Essere).</t>
  </si>
  <si>
    <t xml:space="preserve">Presente de verbos regulares -are</t>
  </si>
  <si>
    <t xml:space="preserve">Presente de verbos regulares -ere</t>
  </si>
  <si>
    <t xml:space="preserve">Presente de verbos regulares -ire</t>
  </si>
  <si>
    <t xml:space="preserve">Verbos -isc</t>
  </si>
  <si>
    <t xml:space="preserve">Essere</t>
  </si>
  <si>
    <t xml:space="preserve">La regla con más ejercicios (34 únicos). Primer intento 32% -&gt; 65% final. Errores recurrentes: confundir lui/lei, 'e' en vez de 'è', y usar formas de otro pronombre (sei en vez de siete).</t>
  </si>
  <si>
    <t xml:space="preserve">Avere</t>
  </si>
  <si>
    <t xml:space="preserve">Fare</t>
  </si>
  <si>
    <t xml:space="preserve">Andare</t>
  </si>
  <si>
    <t xml:space="preserve">Stare</t>
  </si>
  <si>
    <t xml:space="preserve">Venire</t>
  </si>
  <si>
    <t xml:space="preserve">Sapere</t>
  </si>
  <si>
    <t xml:space="preserve">Potere</t>
  </si>
  <si>
    <t xml:space="preserve">Volere</t>
  </si>
  <si>
    <t xml:space="preserve">Dovere</t>
  </si>
  <si>
    <t xml:space="preserve">Verbos reflexivos</t>
  </si>
  <si>
    <t xml:space="preserve">Forma negativa</t>
  </si>
  <si>
    <t xml:space="preserve">Interrogativos</t>
  </si>
  <si>
    <t xml:space="preserve">Preguntas</t>
  </si>
  <si>
    <t xml:space="preserve">Preposiciones simples</t>
  </si>
  <si>
    <t xml:space="preserve">Aparecen 'nella'/'nel' en algunas frases de dictado (Il tavolo è nella cucina) pero solo como vocabulario memorizado, sin ejercicio dedicado a la regla.</t>
  </si>
  <si>
    <t xml:space="preserve">Preposiciones articuladas</t>
  </si>
  <si>
    <t xml:space="preserve">Aún no trabajada como regla independiente (ver nota anterior).</t>
  </si>
  <si>
    <t xml:space="preserve">Adverbios básicos</t>
  </si>
  <si>
    <t xml:space="preserve">Adjetivos posesivos</t>
  </si>
  <si>
    <t xml:space="preserve">Adjetivos demostrativos</t>
  </si>
  <si>
    <t xml:space="preserve">C'è / Ci sono</t>
  </si>
  <si>
    <t xml:space="preserve">Mi piace / Mi piacciono</t>
  </si>
  <si>
    <t xml:space="preserve">Números</t>
  </si>
  <si>
    <t xml:space="preserve">Hora</t>
  </si>
  <si>
    <t xml:space="preserve">Fechas</t>
  </si>
  <si>
    <t xml:space="preserve">Días, meses y estaciones</t>
  </si>
  <si>
    <t xml:space="preserve">Imperativo básico</t>
  </si>
  <si>
    <t xml:space="preserve">Conectores básicos</t>
  </si>
  <si>
    <t xml:space="preserve">Passato prossimo básico</t>
  </si>
  <si>
    <t xml:space="preserve">A1 Italiano — Uso de temas y actividades</t>
  </si>
  <si>
    <t xml:space="preserve">% de uso = proporción de los ejercicios de esta tanda que tocaron ese tema/vocabulario (no mide dominio, solo cuánta exposición tuvo). 0% significa que ese tema aún no aparece en ningún ejercicio cargado.</t>
  </si>
  <si>
    <t xml:space="preserve">Actividad / Tema</t>
  </si>
  <si>
    <t xml:space="preserve">Tanda A (% uso)</t>
  </si>
  <si>
    <t xml:space="preserve">Tanda B (% uso)</t>
  </si>
  <si>
    <t xml:space="preserve">Uso acumulado</t>
  </si>
  <si>
    <t xml:space="preserve">¿Trabajada?</t>
  </si>
  <si>
    <t xml:space="preserve">Saludos y despedidas</t>
  </si>
  <si>
    <t xml:space="preserve">Ciao, buongiorno, buonasera, buonanotte, arrivederci, a presto, scusa, prego, grazie.</t>
  </si>
  <si>
    <t xml:space="preserve">Presentarse</t>
  </si>
  <si>
    <t xml:space="preserve">Piacere di conoscerti, Di dove sei? — muy poca exposición todavía.</t>
  </si>
  <si>
    <t xml:space="preserve">Información personal</t>
  </si>
  <si>
    <t xml:space="preserve">Familia</t>
  </si>
  <si>
    <t xml:space="preserve">Amigos</t>
  </si>
  <si>
    <t xml:space="preserve">Amico/amica en frases con essere (Noi siamo amici, L'amico è simpatico).</t>
  </si>
  <si>
    <t xml:space="preserve">Nacionalidad y países</t>
  </si>
  <si>
    <t xml:space="preserve">El tema más practicado por lejos: italiano, spagnolo, francese, tedesco, inglese, americano, messicano, colombiano.</t>
  </si>
  <si>
    <t xml:space="preserve">Profesiones</t>
  </si>
  <si>
    <t xml:space="preserve">Medico, insegnante, dottoressa, estudiante.</t>
  </si>
  <si>
    <t xml:space="preserve">Estudios</t>
  </si>
  <si>
    <t xml:space="preserve">Studente/studentessa, principalmente junto con artículos (lo studente).</t>
  </si>
  <si>
    <t xml:space="preserve">Casa</t>
  </si>
  <si>
    <t xml:space="preserve">Cucina, salotto, tavolo, sedia — vocabulario de la casa apenas empezado.</t>
  </si>
  <si>
    <t xml:space="preserve">Habitaciones y muebles</t>
  </si>
  <si>
    <t xml:space="preserve">Ciudad</t>
  </si>
  <si>
    <t xml:space="preserve">Lugares públicos</t>
  </si>
  <si>
    <t xml:space="preserve">Direcciones</t>
  </si>
  <si>
    <t xml:space="preserve">Transporte</t>
  </si>
  <si>
    <t xml:space="preserve">Comida</t>
  </si>
  <si>
    <t xml:space="preserve">Bebidas</t>
  </si>
  <si>
    <t xml:space="preserve">Restaurante</t>
  </si>
  <si>
    <t xml:space="preserve">Supermercado</t>
  </si>
  <si>
    <t xml:space="preserve">Compras</t>
  </si>
  <si>
    <t xml:space="preserve">Ropa</t>
  </si>
  <si>
    <t xml:space="preserve">Colores</t>
  </si>
  <si>
    <t xml:space="preserve">Apariencia física</t>
  </si>
  <si>
    <t xml:space="preserve">Personalidad</t>
  </si>
  <si>
    <t xml:space="preserve">Simpatico aparece, pero suelto dentro de Essere, no como tema de personalidad dedicado.</t>
  </si>
  <si>
    <t xml:space="preserve">Rutina diaria</t>
  </si>
  <si>
    <t xml:space="preserve">Horarios</t>
  </si>
  <si>
    <t xml:space="preserve">Tiempo libre</t>
  </si>
  <si>
    <t xml:space="preserve">Hobbies</t>
  </si>
  <si>
    <t xml:space="preserve">Deportes</t>
  </si>
  <si>
    <t xml:space="preserve">Música</t>
  </si>
  <si>
    <t xml:space="preserve">Cine y televisión</t>
  </si>
  <si>
    <t xml:space="preserve">Clima</t>
  </si>
  <si>
    <t xml:space="preserve">Viajes</t>
  </si>
  <si>
    <t xml:space="preserve">Hotel</t>
  </si>
  <si>
    <t xml:space="preserve">Aeropuerto / estación</t>
  </si>
  <si>
    <t xml:space="preserve">Salud básica</t>
  </si>
  <si>
    <t xml:space="preserve">Partes del cuerpo</t>
  </si>
  <si>
    <t xml:space="preserve">Cumpleaños</t>
  </si>
  <si>
    <t xml:space="preserve">Dinero y precios</t>
  </si>
  <si>
    <t xml:space="preserve">Teléfono</t>
  </si>
  <si>
    <t xml:space="preserve">Invitaciones</t>
  </si>
  <si>
    <t xml:space="preserve">Agradecimientos y disculpas</t>
  </si>
  <si>
    <t xml:space="preserve">Scusa/prego aparecen pero se contaron dentro de Saludos y despedidas.</t>
  </si>
  <si>
    <t xml:space="preserve">Gustos y preferencias</t>
  </si>
  <si>
    <t xml:space="preserve">Necesidades y deseos</t>
  </si>
  <si>
    <t xml:space="preserve">Describir personas</t>
  </si>
  <si>
    <t xml:space="preserve">La ragazza è alta/Il ragazzo è basso se contaron dentro de Adjetivos y concordancia, no como tema aparte.</t>
  </si>
  <si>
    <t xml:space="preserve">Describir lugares</t>
  </si>
  <si>
    <t xml:space="preserve">Describir objetos</t>
  </si>
  <si>
    <t xml:space="preserve">Hablar de actividades diarias</t>
  </si>
  <si>
    <t xml:space="preserve">Escribir mensajes sencillos</t>
  </si>
  <si>
    <t xml:space="preserve">Leer textos sencillos</t>
  </si>
  <si>
    <t xml:space="preserve">Comprender conversaciones sencillas</t>
  </si>
  <si>
    <t xml:space="preserve">Mantener conversaciones básicas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</si>
</sst>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8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A5A5"/>
        </patternFill>
      </fill>
    </dxf>
    <dxf>
      <fill>
        <patternFill>
          <bgColor rgb="FFFDE68A"/>
        </patternFill>
      </fill>
    </dxf>
    <dxf>
      <fill>
        <patternFill>
          <bgColor rgb="FF86EFA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68A"/>
      <rgbColor rgb="FF86EFAC"/>
      <rgbColor rgb="FFFCA5A5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5.05" hidden="false" customHeight="false" outlineLevel="0" collapsed="false">
      <c r="A5" s="4" t="s">
        <v>11</v>
      </c>
      <c r="B5" s="5" t="n">
        <v>0.6</v>
      </c>
      <c r="C5" s="5"/>
      <c r="D5" s="5" t="n">
        <f aca="false">IFERROR(AVERAGE(B5,C5),"")</f>
        <v>0.6</v>
      </c>
      <c r="E5" s="5" t="n">
        <v>0.7</v>
      </c>
      <c r="F5" s="6" t="str">
        <f aca="false">IF(COUNTIF(B5:C5,"&gt;=0.6")&gt;=3,"Sí","No")</f>
        <v>No</v>
      </c>
      <c r="G5" s="6" t="str">
        <f aca="false">IF(D5="","Sin evaluar",IF(D5&gt;=0.7,"Fuerte",IF(D5&gt;=0.4,"Medio","Débil")))</f>
        <v>Medio</v>
      </c>
      <c r="H5" s="7" t="n">
        <v>46265</v>
      </c>
      <c r="I5" s="6" t="s">
        <v>12</v>
      </c>
    </row>
    <row r="6" customFormat="false" ht="35.05" hidden="false" customHeight="false" outlineLevel="0" collapsed="false">
      <c r="A6" s="4" t="s">
        <v>13</v>
      </c>
      <c r="B6" s="5" t="n">
        <v>0.86</v>
      </c>
      <c r="C6" s="5"/>
      <c r="D6" s="5" t="n">
        <f aca="false">IFERROR(AVERAGE(B6,C6),"")</f>
        <v>0.86</v>
      </c>
      <c r="E6" s="5" t="n">
        <v>0.7</v>
      </c>
      <c r="F6" s="6" t="str">
        <f aca="false">IF(COUNTIF(B6:C6,"&gt;=0.6")&gt;=3,"Sí","No")</f>
        <v>No</v>
      </c>
      <c r="G6" s="6" t="str">
        <f aca="false">IF(D6="","Sin evaluar",IF(D6&gt;=0.7,"Fuerte",IF(D6&gt;=0.4,"Medio","Débil")))</f>
        <v>Fuerte</v>
      </c>
      <c r="H6" s="7" t="n">
        <v>46265</v>
      </c>
      <c r="I6" s="6" t="s">
        <v>14</v>
      </c>
    </row>
    <row r="7" customFormat="false" ht="46.25" hidden="false" customHeight="false" outlineLevel="0" collapsed="false">
      <c r="A7" s="4" t="s">
        <v>15</v>
      </c>
      <c r="B7" s="5"/>
      <c r="C7" s="5"/>
      <c r="D7" s="5" t="str">
        <f aca="false">IFERROR(AVERAGE(B7,C7),"")</f>
        <v/>
      </c>
      <c r="E7" s="5" t="n">
        <v>0.7</v>
      </c>
      <c r="F7" s="6" t="str">
        <f aca="false">IF(COUNTIF(B7:C7,"&gt;=0.6")&gt;=3,"Sí","No")</f>
        <v>No</v>
      </c>
      <c r="G7" s="6" t="str">
        <f aca="false">IF(D7="","Sin evaluar",IF(D7&gt;=0.7,"Fuerte",IF(D7&gt;=0.4,"Medio","Débil")))</f>
        <v>Sin evaluar</v>
      </c>
      <c r="H7" s="7" t="n">
        <v>46265</v>
      </c>
      <c r="I7" s="6" t="s">
        <v>16</v>
      </c>
    </row>
    <row r="8" customFormat="false" ht="15" hidden="false" customHeight="false" outlineLevel="0" collapsed="false">
      <c r="A8" s="4" t="s">
        <v>17</v>
      </c>
      <c r="B8" s="5"/>
      <c r="C8" s="5"/>
      <c r="D8" s="5" t="str">
        <f aca="false">IFERROR(AVERAGE(B8,C8),"")</f>
        <v/>
      </c>
      <c r="E8" s="5" t="n">
        <v>0.7</v>
      </c>
      <c r="F8" s="6" t="str">
        <f aca="false">IF(COUNTIF(B8:C8,"&gt;=0.6")&gt;=3,"Sí","No")</f>
        <v>No</v>
      </c>
      <c r="G8" s="6" t="str">
        <f aca="false">IF(D8="","Sin evaluar",IF(D8&gt;=0.7,"Fuerte",IF(D8&gt;=0.4,"Medio","Débil")))</f>
        <v>Sin evaluar</v>
      </c>
      <c r="H8" s="7" t="n">
        <v>46265</v>
      </c>
      <c r="I8" s="6" t="s">
        <v>18</v>
      </c>
    </row>
    <row r="9" customFormat="false" ht="35.05" hidden="false" customHeight="false" outlineLevel="0" collapsed="false">
      <c r="A9" s="4" t="s">
        <v>19</v>
      </c>
      <c r="B9" s="5" t="n">
        <v>0.6</v>
      </c>
      <c r="C9" s="5"/>
      <c r="D9" s="5" t="n">
        <f aca="false">IFERROR(AVERAGE(B9,C9),"")</f>
        <v>0.6</v>
      </c>
      <c r="E9" s="5" t="n">
        <v>0.7</v>
      </c>
      <c r="F9" s="6" t="str">
        <f aca="false">IF(COUNTIF(B9:C9,"&gt;=0.6")&gt;=3,"Sí","No")</f>
        <v>No</v>
      </c>
      <c r="G9" s="6" t="str">
        <f aca="false">IF(D9="","Sin evaluar",IF(D9&gt;=0.7,"Fuerte",IF(D9&gt;=0.4,"Medio","Débil")))</f>
        <v>Medio</v>
      </c>
      <c r="H9" s="7" t="n">
        <v>46265</v>
      </c>
      <c r="I9" s="6" t="s">
        <v>20</v>
      </c>
    </row>
    <row r="10" customFormat="false" ht="15" hidden="false" customHeight="false" outlineLevel="0" collapsed="false">
      <c r="A10" s="4" t="s">
        <v>21</v>
      </c>
      <c r="B10" s="5"/>
      <c r="C10" s="5"/>
      <c r="D10" s="5" t="str">
        <f aca="false">IFERROR(AVERAGE(B10,C10),"")</f>
        <v/>
      </c>
      <c r="E10" s="5" t="n">
        <v>0.7</v>
      </c>
      <c r="F10" s="6" t="str">
        <f aca="false">IF(COUNTIF(B10:C10,"&gt;=0.6")&gt;=3,"Sí","No")</f>
        <v>No</v>
      </c>
      <c r="G10" s="6" t="str">
        <f aca="false">IF(D10="","Sin evaluar",IF(D10&gt;=0.7,"Fuerte",IF(D10&gt;=0.4,"Medio","Débil")))</f>
        <v>Sin evaluar</v>
      </c>
      <c r="H10" s="7" t="n">
        <v>46265</v>
      </c>
      <c r="I10" s="6" t="s">
        <v>22</v>
      </c>
    </row>
    <row r="11" customFormat="false" ht="15" hidden="false" customHeight="false" outlineLevel="0" collapsed="false">
      <c r="A11" s="4" t="s">
        <v>23</v>
      </c>
      <c r="B11" s="5"/>
      <c r="C11" s="5"/>
      <c r="D11" s="5" t="str">
        <f aca="false">IFERROR(AVERAGE(B11,C11),"")</f>
        <v/>
      </c>
      <c r="E11" s="5" t="n">
        <v>0.7</v>
      </c>
      <c r="F11" s="6" t="str">
        <f aca="false">IF(COUNTIF(B11:C11,"&gt;=0.6")&gt;=3,"Sí","No")</f>
        <v>No</v>
      </c>
      <c r="G11" s="6" t="str">
        <f aca="false">IF(D11="","Sin evaluar",IF(D11&gt;=0.7,"Fuerte",IF(D11&gt;=0.4,"Medio","Débil")))</f>
        <v>Sin evaluar</v>
      </c>
      <c r="H11" s="7" t="n">
        <v>46265</v>
      </c>
      <c r="I11" s="6" t="s">
        <v>18</v>
      </c>
    </row>
    <row r="12" customFormat="false" ht="15" hidden="false" customHeight="false" outlineLevel="0" collapsed="false">
      <c r="A12" s="4" t="s">
        <v>24</v>
      </c>
      <c r="B12" s="5"/>
      <c r="C12" s="5"/>
      <c r="D12" s="5" t="str">
        <f aca="false">IFERROR(AVERAGE(B12,C12),"")</f>
        <v/>
      </c>
      <c r="E12" s="5" t="n">
        <v>0.7</v>
      </c>
      <c r="F12" s="6" t="str">
        <f aca="false">IF(COUNTIF(B12:C12,"&gt;=0.6")&gt;=3,"Sí","No")</f>
        <v>No</v>
      </c>
      <c r="G12" s="6" t="str">
        <f aca="false">IF(D12="","Sin evaluar",IF(D12&gt;=0.7,"Fuerte",IF(D12&gt;=0.4,"Medio","Débil")))</f>
        <v>Sin evaluar</v>
      </c>
      <c r="H12" s="7" t="n">
        <v>46265</v>
      </c>
      <c r="I12" s="6" t="s">
        <v>18</v>
      </c>
    </row>
    <row r="13" customFormat="false" ht="15" hidden="false" customHeight="false" outlineLevel="0" collapsed="false">
      <c r="A13" s="4" t="s">
        <v>25</v>
      </c>
      <c r="B13" s="5"/>
      <c r="C13" s="5"/>
      <c r="D13" s="5" t="str">
        <f aca="false">IFERROR(AVERAGE(B13,C13),"")</f>
        <v/>
      </c>
      <c r="E13" s="5" t="n">
        <v>0.7</v>
      </c>
      <c r="F13" s="6" t="str">
        <f aca="false">IF(COUNTIF(B13:C13,"&gt;=0.6")&gt;=3,"Sí","No")</f>
        <v>No</v>
      </c>
      <c r="G13" s="6" t="str">
        <f aca="false">IF(D13="","Sin evaluar",IF(D13&gt;=0.7,"Fuerte",IF(D13&gt;=0.4,"Medio","Débil")))</f>
        <v>Sin evaluar</v>
      </c>
      <c r="H13" s="7" t="n">
        <v>46265</v>
      </c>
      <c r="I13" s="6" t="s">
        <v>18</v>
      </c>
    </row>
    <row r="14" customFormat="false" ht="15" hidden="false" customHeight="false" outlineLevel="0" collapsed="false">
      <c r="A14" s="4" t="s">
        <v>26</v>
      </c>
      <c r="B14" s="5"/>
      <c r="C14" s="5"/>
      <c r="D14" s="5" t="str">
        <f aca="false">IFERROR(AVERAGE(B14,C14),"")</f>
        <v/>
      </c>
      <c r="E14" s="5" t="n">
        <v>0.7</v>
      </c>
      <c r="F14" s="6" t="str">
        <f aca="false">IF(COUNTIF(B14:C14,"&gt;=0.6")&gt;=3,"Sí","No")</f>
        <v>No</v>
      </c>
      <c r="G14" s="6" t="str">
        <f aca="false">IF(D14="","Sin evaluar",IF(D14&gt;=0.7,"Fuerte",IF(D14&gt;=0.4,"Medio","Débil")))</f>
        <v>Sin evaluar</v>
      </c>
      <c r="H14" s="7" t="n">
        <v>46265</v>
      </c>
      <c r="I14" s="6" t="s">
        <v>18</v>
      </c>
    </row>
    <row r="15" customFormat="false" ht="35.05" hidden="false" customHeight="false" outlineLevel="0" collapsed="false">
      <c r="A15" s="4" t="s">
        <v>27</v>
      </c>
      <c r="B15" s="5" t="n">
        <v>0.65</v>
      </c>
      <c r="C15" s="5"/>
      <c r="D15" s="5" t="n">
        <f aca="false">IFERROR(AVERAGE(B15,C15),"")</f>
        <v>0.65</v>
      </c>
      <c r="E15" s="5" t="n">
        <v>0.7</v>
      </c>
      <c r="F15" s="6" t="str">
        <f aca="false">IF(COUNTIF(B15:C15,"&gt;=0.6")&gt;=3,"Sí","No")</f>
        <v>No</v>
      </c>
      <c r="G15" s="6" t="str">
        <f aca="false">IF(D15="","Sin evaluar",IF(D15&gt;=0.7,"Fuerte",IF(D15&gt;=0.4,"Medio","Débil")))</f>
        <v>Medio</v>
      </c>
      <c r="H15" s="7" t="n">
        <v>46265</v>
      </c>
      <c r="I15" s="6" t="s">
        <v>28</v>
      </c>
    </row>
    <row r="16" customFormat="false" ht="15" hidden="false" customHeight="false" outlineLevel="0" collapsed="false">
      <c r="A16" s="4" t="s">
        <v>29</v>
      </c>
      <c r="B16" s="5"/>
      <c r="C16" s="5"/>
      <c r="D16" s="5" t="str">
        <f aca="false">IFERROR(AVERAGE(B16,C16),"")</f>
        <v/>
      </c>
      <c r="E16" s="5" t="n">
        <v>0.7</v>
      </c>
      <c r="F16" s="6" t="str">
        <f aca="false">IF(COUNTIF(B16:C16,"&gt;=0.6")&gt;=3,"Sí","No")</f>
        <v>No</v>
      </c>
      <c r="G16" s="6" t="str">
        <f aca="false">IF(D16="","Sin evaluar",IF(D16&gt;=0.7,"Fuerte",IF(D16&gt;=0.4,"Medio","Débil")))</f>
        <v>Sin evaluar</v>
      </c>
      <c r="H16" s="7" t="n">
        <v>46265</v>
      </c>
      <c r="I16" s="6" t="s">
        <v>18</v>
      </c>
    </row>
    <row r="17" customFormat="false" ht="15" hidden="false" customHeight="false" outlineLevel="0" collapsed="false">
      <c r="A17" s="4" t="s">
        <v>30</v>
      </c>
      <c r="B17" s="5"/>
      <c r="C17" s="5"/>
      <c r="D17" s="5" t="str">
        <f aca="false">IFERROR(AVERAGE(B17,C17),"")</f>
        <v/>
      </c>
      <c r="E17" s="5" t="n">
        <v>0.7</v>
      </c>
      <c r="F17" s="6" t="str">
        <f aca="false">IF(COUNTIF(B17:C17,"&gt;=0.6")&gt;=3,"Sí","No")</f>
        <v>No</v>
      </c>
      <c r="G17" s="6" t="str">
        <f aca="false">IF(D17="","Sin evaluar",IF(D17&gt;=0.7,"Fuerte",IF(D17&gt;=0.4,"Medio","Débil")))</f>
        <v>Sin evaluar</v>
      </c>
      <c r="H17" s="7" t="n">
        <v>46265</v>
      </c>
      <c r="I17" s="6" t="s">
        <v>18</v>
      </c>
    </row>
    <row r="18" customFormat="false" ht="15" hidden="false" customHeight="false" outlineLevel="0" collapsed="false">
      <c r="A18" s="4" t="s">
        <v>31</v>
      </c>
      <c r="B18" s="5"/>
      <c r="C18" s="5"/>
      <c r="D18" s="5" t="str">
        <f aca="false">IFERROR(AVERAGE(B18,C18),"")</f>
        <v/>
      </c>
      <c r="E18" s="5" t="n">
        <v>0.7</v>
      </c>
      <c r="F18" s="6" t="str">
        <f aca="false">IF(COUNTIF(B18:C18,"&gt;=0.6")&gt;=3,"Sí","No")</f>
        <v>No</v>
      </c>
      <c r="G18" s="6" t="str">
        <f aca="false">IF(D18="","Sin evaluar",IF(D18&gt;=0.7,"Fuerte",IF(D18&gt;=0.4,"Medio","Débil")))</f>
        <v>Sin evaluar</v>
      </c>
      <c r="H18" s="7" t="n">
        <v>46265</v>
      </c>
      <c r="I18" s="6" t="s">
        <v>18</v>
      </c>
    </row>
    <row r="19" customFormat="false" ht="15" hidden="false" customHeight="false" outlineLevel="0" collapsed="false">
      <c r="A19" s="4" t="s">
        <v>32</v>
      </c>
      <c r="B19" s="5"/>
      <c r="C19" s="5"/>
      <c r="D19" s="5" t="str">
        <f aca="false">IFERROR(AVERAGE(B19,C19),"")</f>
        <v/>
      </c>
      <c r="E19" s="5" t="n">
        <v>0.7</v>
      </c>
      <c r="F19" s="6" t="str">
        <f aca="false">IF(COUNTIF(B19:C19,"&gt;=0.6")&gt;=3,"Sí","No")</f>
        <v>No</v>
      </c>
      <c r="G19" s="6" t="str">
        <f aca="false">IF(D19="","Sin evaluar",IF(D19&gt;=0.7,"Fuerte",IF(D19&gt;=0.4,"Medio","Débil")))</f>
        <v>Sin evaluar</v>
      </c>
      <c r="H19" s="7" t="n">
        <v>46265</v>
      </c>
      <c r="I19" s="6" t="s">
        <v>18</v>
      </c>
    </row>
    <row r="20" customFormat="false" ht="15" hidden="false" customHeight="false" outlineLevel="0" collapsed="false">
      <c r="A20" s="4" t="s">
        <v>33</v>
      </c>
      <c r="B20" s="5"/>
      <c r="C20" s="5"/>
      <c r="D20" s="5" t="str">
        <f aca="false">IFERROR(AVERAGE(B20,C20),"")</f>
        <v/>
      </c>
      <c r="E20" s="5" t="n">
        <v>0.7</v>
      </c>
      <c r="F20" s="6" t="str">
        <f aca="false">IF(COUNTIF(B20:C20,"&gt;=0.6")&gt;=3,"Sí","No")</f>
        <v>No</v>
      </c>
      <c r="G20" s="6" t="str">
        <f aca="false">IF(D20="","Sin evaluar",IF(D20&gt;=0.7,"Fuerte",IF(D20&gt;=0.4,"Medio","Débil")))</f>
        <v>Sin evaluar</v>
      </c>
      <c r="H20" s="7" t="n">
        <v>46265</v>
      </c>
      <c r="I20" s="6" t="s">
        <v>18</v>
      </c>
    </row>
    <row r="21" customFormat="false" ht="15" hidden="false" customHeight="false" outlineLevel="0" collapsed="false">
      <c r="A21" s="4" t="s">
        <v>34</v>
      </c>
      <c r="B21" s="5"/>
      <c r="C21" s="5"/>
      <c r="D21" s="5" t="str">
        <f aca="false">IFERROR(AVERAGE(B21,C21),"")</f>
        <v/>
      </c>
      <c r="E21" s="5" t="n">
        <v>0.7</v>
      </c>
      <c r="F21" s="6" t="str">
        <f aca="false">IF(COUNTIF(B21:C21,"&gt;=0.6")&gt;=3,"Sí","No")</f>
        <v>No</v>
      </c>
      <c r="G21" s="6" t="str">
        <f aca="false">IF(D21="","Sin evaluar",IF(D21&gt;=0.7,"Fuerte",IF(D21&gt;=0.4,"Medio","Débil")))</f>
        <v>Sin evaluar</v>
      </c>
      <c r="H21" s="7" t="n">
        <v>46265</v>
      </c>
      <c r="I21" s="6" t="s">
        <v>18</v>
      </c>
    </row>
    <row r="22" customFormat="false" ht="15" hidden="false" customHeight="false" outlineLevel="0" collapsed="false">
      <c r="A22" s="4" t="s">
        <v>35</v>
      </c>
      <c r="B22" s="5"/>
      <c r="C22" s="5"/>
      <c r="D22" s="5" t="str">
        <f aca="false">IFERROR(AVERAGE(B22,C22),"")</f>
        <v/>
      </c>
      <c r="E22" s="5" t="n">
        <v>0.7</v>
      </c>
      <c r="F22" s="6" t="str">
        <f aca="false">IF(COUNTIF(B22:C22,"&gt;=0.6")&gt;=3,"Sí","No")</f>
        <v>No</v>
      </c>
      <c r="G22" s="6" t="str">
        <f aca="false">IF(D22="","Sin evaluar",IF(D22&gt;=0.7,"Fuerte",IF(D22&gt;=0.4,"Medio","Débil")))</f>
        <v>Sin evaluar</v>
      </c>
      <c r="H22" s="7" t="n">
        <v>46265</v>
      </c>
      <c r="I22" s="6" t="s">
        <v>18</v>
      </c>
    </row>
    <row r="23" customFormat="false" ht="15" hidden="false" customHeight="false" outlineLevel="0" collapsed="false">
      <c r="A23" s="4" t="s">
        <v>36</v>
      </c>
      <c r="B23" s="5"/>
      <c r="C23" s="5"/>
      <c r="D23" s="5" t="str">
        <f aca="false">IFERROR(AVERAGE(B23,C23),"")</f>
        <v/>
      </c>
      <c r="E23" s="5" t="n">
        <v>0.7</v>
      </c>
      <c r="F23" s="6" t="str">
        <f aca="false">IF(COUNTIF(B23:C23,"&gt;=0.6")&gt;=3,"Sí","No")</f>
        <v>No</v>
      </c>
      <c r="G23" s="6" t="str">
        <f aca="false">IF(D23="","Sin evaluar",IF(D23&gt;=0.7,"Fuerte",IF(D23&gt;=0.4,"Medio","Débil")))</f>
        <v>Sin evaluar</v>
      </c>
      <c r="H23" s="7" t="n">
        <v>46265</v>
      </c>
      <c r="I23" s="6" t="s">
        <v>18</v>
      </c>
    </row>
    <row r="24" customFormat="false" ht="15" hidden="false" customHeight="false" outlineLevel="0" collapsed="false">
      <c r="A24" s="4" t="s">
        <v>37</v>
      </c>
      <c r="B24" s="5"/>
      <c r="C24" s="5"/>
      <c r="D24" s="5" t="str">
        <f aca="false">IFERROR(AVERAGE(B24,C24),"")</f>
        <v/>
      </c>
      <c r="E24" s="5" t="n">
        <v>0.7</v>
      </c>
      <c r="F24" s="6" t="str">
        <f aca="false">IF(COUNTIF(B24:C24,"&gt;=0.6")&gt;=3,"Sí","No")</f>
        <v>No</v>
      </c>
      <c r="G24" s="6" t="str">
        <f aca="false">IF(D24="","Sin evaluar",IF(D24&gt;=0.7,"Fuerte",IF(D24&gt;=0.4,"Medio","Débil")))</f>
        <v>Sin evaluar</v>
      </c>
      <c r="H24" s="7" t="n">
        <v>46265</v>
      </c>
      <c r="I24" s="6" t="s">
        <v>18</v>
      </c>
    </row>
    <row r="25" customFormat="false" ht="15" hidden="false" customHeight="false" outlineLevel="0" collapsed="false">
      <c r="A25" s="4" t="s">
        <v>38</v>
      </c>
      <c r="B25" s="5"/>
      <c r="C25" s="5"/>
      <c r="D25" s="5" t="str">
        <f aca="false">IFERROR(AVERAGE(B25,C25),"")</f>
        <v/>
      </c>
      <c r="E25" s="5" t="n">
        <v>0.7</v>
      </c>
      <c r="F25" s="6" t="str">
        <f aca="false">IF(COUNTIF(B25:C25,"&gt;=0.6")&gt;=3,"Sí","No")</f>
        <v>No</v>
      </c>
      <c r="G25" s="6" t="str">
        <f aca="false">IF(D25="","Sin evaluar",IF(D25&gt;=0.7,"Fuerte",IF(D25&gt;=0.4,"Medio","Débil")))</f>
        <v>Sin evaluar</v>
      </c>
      <c r="H25" s="7" t="n">
        <v>46265</v>
      </c>
      <c r="I25" s="6" t="s">
        <v>18</v>
      </c>
    </row>
    <row r="26" customFormat="false" ht="15" hidden="false" customHeight="false" outlineLevel="0" collapsed="false">
      <c r="A26" s="4" t="s">
        <v>39</v>
      </c>
      <c r="B26" s="5"/>
      <c r="C26" s="5"/>
      <c r="D26" s="5" t="str">
        <f aca="false">IFERROR(AVERAGE(B26,C26),"")</f>
        <v/>
      </c>
      <c r="E26" s="5" t="n">
        <v>0.7</v>
      </c>
      <c r="F26" s="6" t="str">
        <f aca="false">IF(COUNTIF(B26:C26,"&gt;=0.6")&gt;=3,"Sí","No")</f>
        <v>No</v>
      </c>
      <c r="G26" s="6" t="str">
        <f aca="false">IF(D26="","Sin evaluar",IF(D26&gt;=0.7,"Fuerte",IF(D26&gt;=0.4,"Medio","Débil")))</f>
        <v>Sin evaluar</v>
      </c>
      <c r="H26" s="7" t="n">
        <v>46265</v>
      </c>
      <c r="I26" s="6" t="s">
        <v>18</v>
      </c>
    </row>
    <row r="27" customFormat="false" ht="15" hidden="false" customHeight="false" outlineLevel="0" collapsed="false">
      <c r="A27" s="4" t="s">
        <v>40</v>
      </c>
      <c r="B27" s="5"/>
      <c r="C27" s="5"/>
      <c r="D27" s="5" t="str">
        <f aca="false">IFERROR(AVERAGE(B27,C27),"")</f>
        <v/>
      </c>
      <c r="E27" s="5" t="n">
        <v>0.7</v>
      </c>
      <c r="F27" s="6" t="str">
        <f aca="false">IF(COUNTIF(B27:C27,"&gt;=0.6")&gt;=3,"Sí","No")</f>
        <v>No</v>
      </c>
      <c r="G27" s="6" t="str">
        <f aca="false">IF(D27="","Sin evaluar",IF(D27&gt;=0.7,"Fuerte",IF(D27&gt;=0.4,"Medio","Débil")))</f>
        <v>Sin evaluar</v>
      </c>
      <c r="H27" s="7" t="n">
        <v>46265</v>
      </c>
      <c r="I27" s="6" t="s">
        <v>18</v>
      </c>
    </row>
    <row r="28" customFormat="false" ht="15" hidden="false" customHeight="false" outlineLevel="0" collapsed="false">
      <c r="A28" s="4" t="s">
        <v>41</v>
      </c>
      <c r="B28" s="5"/>
      <c r="C28" s="5"/>
      <c r="D28" s="5" t="str">
        <f aca="false">IFERROR(AVERAGE(B28,C28),"")</f>
        <v/>
      </c>
      <c r="E28" s="5" t="n">
        <v>0.7</v>
      </c>
      <c r="F28" s="6" t="str">
        <f aca="false">IF(COUNTIF(B28:C28,"&gt;=0.6")&gt;=3,"Sí","No")</f>
        <v>No</v>
      </c>
      <c r="G28" s="6" t="str">
        <f aca="false">IF(D28="","Sin evaluar",IF(D28&gt;=0.7,"Fuerte",IF(D28&gt;=0.4,"Medio","Débil")))</f>
        <v>Sin evaluar</v>
      </c>
      <c r="H28" s="7" t="n">
        <v>46265</v>
      </c>
      <c r="I28" s="6" t="s">
        <v>18</v>
      </c>
    </row>
    <row r="29" customFormat="false" ht="23.85" hidden="false" customHeight="false" outlineLevel="0" collapsed="false">
      <c r="A29" s="4" t="s">
        <v>42</v>
      </c>
      <c r="B29" s="5"/>
      <c r="C29" s="5"/>
      <c r="D29" s="5" t="str">
        <f aca="false">IFERROR(AVERAGE(B29,C29),"")</f>
        <v/>
      </c>
      <c r="E29" s="5" t="n">
        <v>0.7</v>
      </c>
      <c r="F29" s="6" t="str">
        <f aca="false">IF(COUNTIF(B29:C29,"&gt;=0.6")&gt;=3,"Sí","No")</f>
        <v>No</v>
      </c>
      <c r="G29" s="6" t="str">
        <f aca="false">IF(D29="","Sin evaluar",IF(D29&gt;=0.7,"Fuerte",IF(D29&gt;=0.4,"Medio","Débil")))</f>
        <v>Sin evaluar</v>
      </c>
      <c r="H29" s="7" t="n">
        <v>46265</v>
      </c>
      <c r="I29" s="6" t="s">
        <v>43</v>
      </c>
    </row>
    <row r="30" customFormat="false" ht="15" hidden="false" customHeight="false" outlineLevel="0" collapsed="false">
      <c r="A30" s="4" t="s">
        <v>44</v>
      </c>
      <c r="B30" s="5"/>
      <c r="C30" s="5"/>
      <c r="D30" s="5" t="str">
        <f aca="false">IFERROR(AVERAGE(B30,C30),"")</f>
        <v/>
      </c>
      <c r="E30" s="5" t="n">
        <v>0.7</v>
      </c>
      <c r="F30" s="6" t="str">
        <f aca="false">IF(COUNTIF(B30:C30,"&gt;=0.6")&gt;=3,"Sí","No")</f>
        <v>No</v>
      </c>
      <c r="G30" s="6" t="str">
        <f aca="false">IF(D30="","Sin evaluar",IF(D30&gt;=0.7,"Fuerte",IF(D30&gt;=0.4,"Medio","Débil")))</f>
        <v>Sin evaluar</v>
      </c>
      <c r="H30" s="7" t="n">
        <v>46265</v>
      </c>
      <c r="I30" s="6" t="s">
        <v>45</v>
      </c>
    </row>
    <row r="31" customFormat="false" ht="15" hidden="false" customHeight="false" outlineLevel="0" collapsed="false">
      <c r="A31" s="4" t="s">
        <v>46</v>
      </c>
      <c r="B31" s="5"/>
      <c r="C31" s="5"/>
      <c r="D31" s="5" t="str">
        <f aca="false">IFERROR(AVERAGE(B31,C31),"")</f>
        <v/>
      </c>
      <c r="E31" s="5" t="n">
        <v>0.7</v>
      </c>
      <c r="F31" s="6" t="str">
        <f aca="false">IF(COUNTIF(B31:C31,"&gt;=0.6")&gt;=3,"Sí","No")</f>
        <v>No</v>
      </c>
      <c r="G31" s="6" t="str">
        <f aca="false">IF(D31="","Sin evaluar",IF(D31&gt;=0.7,"Fuerte",IF(D31&gt;=0.4,"Medio","Débil")))</f>
        <v>Sin evaluar</v>
      </c>
      <c r="H31" s="7" t="n">
        <v>46265</v>
      </c>
      <c r="I31" s="6" t="s">
        <v>18</v>
      </c>
    </row>
    <row r="32" customFormat="false" ht="15" hidden="false" customHeight="false" outlineLevel="0" collapsed="false">
      <c r="A32" s="4" t="s">
        <v>47</v>
      </c>
      <c r="B32" s="5"/>
      <c r="C32" s="5"/>
      <c r="D32" s="5" t="str">
        <f aca="false">IFERROR(AVERAGE(B32,C32),"")</f>
        <v/>
      </c>
      <c r="E32" s="5" t="n">
        <v>0.7</v>
      </c>
      <c r="F32" s="6" t="str">
        <f aca="false">IF(COUNTIF(B32:C32,"&gt;=0.6")&gt;=3,"Sí","No")</f>
        <v>No</v>
      </c>
      <c r="G32" s="6" t="str">
        <f aca="false">IF(D32="","Sin evaluar",IF(D32&gt;=0.7,"Fuerte",IF(D32&gt;=0.4,"Medio","Débil")))</f>
        <v>Sin evaluar</v>
      </c>
      <c r="H32" s="7" t="n">
        <v>46265</v>
      </c>
      <c r="I32" s="6" t="s">
        <v>18</v>
      </c>
    </row>
    <row r="33" customFormat="false" ht="15" hidden="false" customHeight="false" outlineLevel="0" collapsed="false">
      <c r="A33" s="4" t="s">
        <v>48</v>
      </c>
      <c r="B33" s="5"/>
      <c r="C33" s="5"/>
      <c r="D33" s="5" t="str">
        <f aca="false">IFERROR(AVERAGE(B33,C33),"")</f>
        <v/>
      </c>
      <c r="E33" s="5" t="n">
        <v>0.7</v>
      </c>
      <c r="F33" s="6" t="str">
        <f aca="false">IF(COUNTIF(B33:C33,"&gt;=0.6")&gt;=3,"Sí","No")</f>
        <v>No</v>
      </c>
      <c r="G33" s="6" t="str">
        <f aca="false">IF(D33="","Sin evaluar",IF(D33&gt;=0.7,"Fuerte",IF(D33&gt;=0.4,"Medio","Débil")))</f>
        <v>Sin evaluar</v>
      </c>
      <c r="H33" s="7" t="n">
        <v>46265</v>
      </c>
      <c r="I33" s="6" t="s">
        <v>18</v>
      </c>
    </row>
    <row r="34" customFormat="false" ht="15" hidden="false" customHeight="false" outlineLevel="0" collapsed="false">
      <c r="A34" s="4" t="s">
        <v>49</v>
      </c>
      <c r="B34" s="5"/>
      <c r="C34" s="5"/>
      <c r="D34" s="5" t="str">
        <f aca="false">IFERROR(AVERAGE(B34,C34),"")</f>
        <v/>
      </c>
      <c r="E34" s="5" t="n">
        <v>0.7</v>
      </c>
      <c r="F34" s="6" t="str">
        <f aca="false">IF(COUNTIF(B34:C34,"&gt;=0.6")&gt;=3,"Sí","No")</f>
        <v>No</v>
      </c>
      <c r="G34" s="6" t="str">
        <f aca="false">IF(D34="","Sin evaluar",IF(D34&gt;=0.7,"Fuerte",IF(D34&gt;=0.4,"Medio","Débil")))</f>
        <v>Sin evaluar</v>
      </c>
      <c r="H34" s="7" t="n">
        <v>46265</v>
      </c>
      <c r="I34" s="6" t="s">
        <v>18</v>
      </c>
    </row>
    <row r="35" customFormat="false" ht="15" hidden="false" customHeight="false" outlineLevel="0" collapsed="false">
      <c r="A35" s="4" t="s">
        <v>50</v>
      </c>
      <c r="B35" s="5"/>
      <c r="C35" s="5"/>
      <c r="D35" s="5" t="str">
        <f aca="false">IFERROR(AVERAGE(B35,C35),"")</f>
        <v/>
      </c>
      <c r="E35" s="5" t="n">
        <v>0.7</v>
      </c>
      <c r="F35" s="6" t="str">
        <f aca="false">IF(COUNTIF(B35:C35,"&gt;=0.6")&gt;=3,"Sí","No")</f>
        <v>No</v>
      </c>
      <c r="G35" s="6" t="str">
        <f aca="false">IF(D35="","Sin evaluar",IF(D35&gt;=0.7,"Fuerte",IF(D35&gt;=0.4,"Medio","Débil")))</f>
        <v>Sin evaluar</v>
      </c>
      <c r="H35" s="7" t="n">
        <v>46265</v>
      </c>
      <c r="I35" s="6" t="s">
        <v>18</v>
      </c>
    </row>
    <row r="36" customFormat="false" ht="15" hidden="false" customHeight="false" outlineLevel="0" collapsed="false">
      <c r="A36" s="4" t="s">
        <v>51</v>
      </c>
      <c r="B36" s="5"/>
      <c r="C36" s="5"/>
      <c r="D36" s="5" t="str">
        <f aca="false">IFERROR(AVERAGE(B36,C36),"")</f>
        <v/>
      </c>
      <c r="E36" s="5" t="n">
        <v>0.7</v>
      </c>
      <c r="F36" s="6" t="str">
        <f aca="false">IF(COUNTIF(B36:C36,"&gt;=0.6")&gt;=3,"Sí","No")</f>
        <v>No</v>
      </c>
      <c r="G36" s="6" t="str">
        <f aca="false">IF(D36="","Sin evaluar",IF(D36&gt;=0.7,"Fuerte",IF(D36&gt;=0.4,"Medio","Débil")))</f>
        <v>Sin evaluar</v>
      </c>
      <c r="H36" s="7" t="n">
        <v>46265</v>
      </c>
      <c r="I36" s="6" t="s">
        <v>18</v>
      </c>
    </row>
    <row r="37" customFormat="false" ht="15" hidden="false" customHeight="false" outlineLevel="0" collapsed="false">
      <c r="A37" s="4" t="s">
        <v>52</v>
      </c>
      <c r="B37" s="5"/>
      <c r="C37" s="5"/>
      <c r="D37" s="5" t="str">
        <f aca="false">IFERROR(AVERAGE(B37,C37),"")</f>
        <v/>
      </c>
      <c r="E37" s="5" t="n">
        <v>0.7</v>
      </c>
      <c r="F37" s="6" t="str">
        <f aca="false">IF(COUNTIF(B37:C37,"&gt;=0.6")&gt;=3,"Sí","No")</f>
        <v>No</v>
      </c>
      <c r="G37" s="6" t="str">
        <f aca="false">IF(D37="","Sin evaluar",IF(D37&gt;=0.7,"Fuerte",IF(D37&gt;=0.4,"Medio","Débil")))</f>
        <v>Sin evaluar</v>
      </c>
      <c r="H37" s="7" t="n">
        <v>46265</v>
      </c>
      <c r="I37" s="6" t="s">
        <v>18</v>
      </c>
    </row>
    <row r="38" customFormat="false" ht="15" hidden="false" customHeight="false" outlineLevel="0" collapsed="false">
      <c r="A38" s="4" t="s">
        <v>53</v>
      </c>
      <c r="B38" s="5"/>
      <c r="C38" s="5"/>
      <c r="D38" s="5" t="str">
        <f aca="false">IFERROR(AVERAGE(B38,C38),"")</f>
        <v/>
      </c>
      <c r="E38" s="5" t="n">
        <v>0.7</v>
      </c>
      <c r="F38" s="6" t="str">
        <f aca="false">IF(COUNTIF(B38:C38,"&gt;=0.6")&gt;=3,"Sí","No")</f>
        <v>No</v>
      </c>
      <c r="G38" s="6" t="str">
        <f aca="false">IF(D38="","Sin evaluar",IF(D38&gt;=0.7,"Fuerte",IF(D38&gt;=0.4,"Medio","Débil")))</f>
        <v>Sin evaluar</v>
      </c>
      <c r="H38" s="7" t="n">
        <v>46265</v>
      </c>
      <c r="I38" s="6" t="s">
        <v>18</v>
      </c>
    </row>
    <row r="39" customFormat="false" ht="15" hidden="false" customHeight="false" outlineLevel="0" collapsed="false">
      <c r="A39" s="4" t="s">
        <v>54</v>
      </c>
      <c r="B39" s="5"/>
      <c r="C39" s="5"/>
      <c r="D39" s="5" t="str">
        <f aca="false">IFERROR(AVERAGE(B39,C39),"")</f>
        <v/>
      </c>
      <c r="E39" s="5" t="n">
        <v>0.7</v>
      </c>
      <c r="F39" s="6" t="str">
        <f aca="false">IF(COUNTIF(B39:C39,"&gt;=0.6")&gt;=3,"Sí","No")</f>
        <v>No</v>
      </c>
      <c r="G39" s="6" t="str">
        <f aca="false">IF(D39="","Sin evaluar",IF(D39&gt;=0.7,"Fuerte",IF(D39&gt;=0.4,"Medio","Débil")))</f>
        <v>Sin evaluar</v>
      </c>
      <c r="H39" s="7" t="n">
        <v>46265</v>
      </c>
      <c r="I39" s="6" t="s">
        <v>18</v>
      </c>
    </row>
    <row r="40" customFormat="false" ht="15" hidden="false" customHeight="false" outlineLevel="0" collapsed="false">
      <c r="A40" s="4" t="s">
        <v>55</v>
      </c>
      <c r="B40" s="5"/>
      <c r="C40" s="5"/>
      <c r="D40" s="5" t="str">
        <f aca="false">IFERROR(AVERAGE(B40,C40),"")</f>
        <v/>
      </c>
      <c r="E40" s="5" t="n">
        <v>0.7</v>
      </c>
      <c r="F40" s="6" t="str">
        <f aca="false">IF(COUNTIF(B40:C40,"&gt;=0.6")&gt;=3,"Sí","No")</f>
        <v>No</v>
      </c>
      <c r="G40" s="6" t="str">
        <f aca="false">IF(D40="","Sin evaluar",IF(D40&gt;=0.7,"Fuerte",IF(D40&gt;=0.4,"Medio","Débil")))</f>
        <v>Sin evaluar</v>
      </c>
      <c r="H40" s="7" t="n">
        <v>46265</v>
      </c>
      <c r="I40" s="6" t="s">
        <v>18</v>
      </c>
    </row>
    <row r="41" customFormat="false" ht="15" hidden="false" customHeight="false" outlineLevel="0" collapsed="false">
      <c r="A41" s="4" t="s">
        <v>56</v>
      </c>
      <c r="B41" s="5"/>
      <c r="C41" s="5"/>
      <c r="D41" s="5" t="str">
        <f aca="false">IFERROR(AVERAGE(B41,C41),"")</f>
        <v/>
      </c>
      <c r="E41" s="5" t="n">
        <v>0.7</v>
      </c>
      <c r="F41" s="6" t="str">
        <f aca="false">IF(COUNTIF(B41:C41,"&gt;=0.6")&gt;=3,"Sí","No")</f>
        <v>No</v>
      </c>
      <c r="G41" s="6" t="str">
        <f aca="false">IF(D41="","Sin evaluar",IF(D41&gt;=0.7,"Fuerte",IF(D41&gt;=0.4,"Medio","Débil")))</f>
        <v>Sin evaluar</v>
      </c>
      <c r="H41" s="7" t="n">
        <v>46265</v>
      </c>
      <c r="I41" s="6" t="s">
        <v>18</v>
      </c>
    </row>
    <row r="42" customFormat="false" ht="15" hidden="false" customHeight="false" outlineLevel="0" collapsed="false">
      <c r="A42" s="4" t="s">
        <v>57</v>
      </c>
      <c r="B42" s="5"/>
      <c r="C42" s="5"/>
      <c r="D42" s="5" t="str">
        <f aca="false">IFERROR(AVERAGE(B42,C42),"")</f>
        <v/>
      </c>
      <c r="E42" s="5" t="n">
        <v>0.7</v>
      </c>
      <c r="F42" s="6" t="str">
        <f aca="false">IF(COUNTIF(B42:C42,"&gt;=0.6")&gt;=3,"Sí","No")</f>
        <v>No</v>
      </c>
      <c r="G42" s="6" t="str">
        <f aca="false">IF(D42="","Sin evaluar",IF(D42&gt;=0.7,"Fuerte",IF(D42&gt;=0.4,"Medio","Débil")))</f>
        <v>Sin evaluar</v>
      </c>
      <c r="H42" s="7" t="n">
        <v>46265</v>
      </c>
      <c r="I42" s="6" t="s">
        <v>18</v>
      </c>
    </row>
  </sheetData>
  <mergeCells count="2">
    <mergeCell ref="A1:I1"/>
    <mergeCell ref="A2:I2"/>
  </mergeCells>
  <conditionalFormatting sqref="G5:G42">
    <cfRule type="cellIs" priority="2" operator="equal" aboveAverage="0" equalAverage="0" bottom="0" percent="0" rank="0" text="" dxfId="0">
      <formula>"Débil"</formula>
    </cfRule>
    <cfRule type="cellIs" priority="3" operator="equal" aboveAverage="0" equalAverage="0" bottom="0" percent="0" rank="0" text="" dxfId="1">
      <formula>"Medio"</formula>
    </cfRule>
    <cfRule type="cellIs" priority="4" operator="equal" aboveAverage="0" equalAverage="0" bottom="0" percent="0" rank="0" text="" dxfId="2">
      <formula>"Fuerte"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5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58</v>
      </c>
      <c r="B1" s="1"/>
      <c r="C1" s="1"/>
      <c r="D1" s="1"/>
      <c r="E1" s="1"/>
      <c r="F1" s="1"/>
      <c r="G1" s="1"/>
    </row>
    <row r="2" customFormat="false" ht="27.75" hidden="false" customHeight="true" outlineLevel="0" collapsed="false">
      <c r="A2" s="2" t="s">
        <v>59</v>
      </c>
      <c r="B2" s="2"/>
      <c r="C2" s="2"/>
      <c r="D2" s="2"/>
      <c r="E2" s="2"/>
      <c r="F2" s="2"/>
      <c r="G2" s="2"/>
    </row>
    <row r="4" customFormat="false" ht="26.85" hidden="false" customHeight="false" outlineLevel="0" collapsed="false">
      <c r="A4" s="3" t="s">
        <v>60</v>
      </c>
      <c r="B4" s="3" t="s">
        <v>61</v>
      </c>
      <c r="C4" s="3" t="s">
        <v>62</v>
      </c>
      <c r="D4" s="3" t="s">
        <v>63</v>
      </c>
      <c r="E4" s="3" t="s">
        <v>64</v>
      </c>
      <c r="F4" s="3" t="s">
        <v>9</v>
      </c>
      <c r="G4" s="3" t="s">
        <v>10</v>
      </c>
    </row>
    <row r="5" customFormat="false" ht="23.85" hidden="false" customHeight="false" outlineLevel="0" collapsed="false">
      <c r="A5" s="4" t="s">
        <v>65</v>
      </c>
      <c r="B5" s="5" t="n">
        <v>0.11</v>
      </c>
      <c r="C5" s="5"/>
      <c r="D5" s="5" t="n">
        <f aca="false">IFERROR(AVERAGE(B5,C5),0)</f>
        <v>0.11</v>
      </c>
      <c r="E5" s="6" t="str">
        <f aca="false">IF(D5&gt;0,"Sí","No")</f>
        <v>Sí</v>
      </c>
      <c r="F5" s="7" t="n">
        <v>46265</v>
      </c>
      <c r="G5" s="6" t="s">
        <v>66</v>
      </c>
    </row>
    <row r="6" customFormat="false" ht="15" hidden="false" customHeight="false" outlineLevel="0" collapsed="false">
      <c r="A6" s="4" t="s">
        <v>67</v>
      </c>
      <c r="B6" s="5" t="n">
        <v>0.03</v>
      </c>
      <c r="C6" s="5"/>
      <c r="D6" s="5" t="n">
        <f aca="false">IFERROR(AVERAGE(B6,C6),0)</f>
        <v>0.03</v>
      </c>
      <c r="E6" s="6" t="str">
        <f aca="false">IF(D6&gt;0,"Sí","No")</f>
        <v>Sí</v>
      </c>
      <c r="F6" s="7" t="n">
        <v>46265</v>
      </c>
      <c r="G6" s="6" t="s">
        <v>68</v>
      </c>
    </row>
    <row r="7" customFormat="false" ht="15" hidden="false" customHeight="false" outlineLevel="0" collapsed="false">
      <c r="A7" s="4" t="s">
        <v>69</v>
      </c>
      <c r="B7" s="5" t="n">
        <v>0</v>
      </c>
      <c r="C7" s="5"/>
      <c r="D7" s="5" t="n">
        <f aca="false">IFERROR(AVERAGE(B7,C7),0)</f>
        <v>0</v>
      </c>
      <c r="E7" s="6" t="str">
        <f aca="false">IF(D7&gt;0,"Sí","No")</f>
        <v>No</v>
      </c>
      <c r="F7" s="7" t="n">
        <v>46265</v>
      </c>
      <c r="G7" s="6"/>
    </row>
    <row r="8" customFormat="false" ht="15" hidden="false" customHeight="false" outlineLevel="0" collapsed="false">
      <c r="A8" s="4" t="s">
        <v>70</v>
      </c>
      <c r="B8" s="5" t="n">
        <v>0</v>
      </c>
      <c r="C8" s="5"/>
      <c r="D8" s="5" t="n">
        <f aca="false">IFERROR(AVERAGE(B8,C8),0)</f>
        <v>0</v>
      </c>
      <c r="E8" s="6" t="str">
        <f aca="false">IF(D8&gt;0,"Sí","No")</f>
        <v>No</v>
      </c>
      <c r="F8" s="7" t="n">
        <v>46265</v>
      </c>
      <c r="G8" s="6"/>
    </row>
    <row r="9" customFormat="false" ht="15" hidden="false" customHeight="false" outlineLevel="0" collapsed="false">
      <c r="A9" s="4" t="s">
        <v>71</v>
      </c>
      <c r="B9" s="5" t="n">
        <v>0.07</v>
      </c>
      <c r="C9" s="5"/>
      <c r="D9" s="5" t="n">
        <f aca="false">IFERROR(AVERAGE(B9,C9),0)</f>
        <v>0.07</v>
      </c>
      <c r="E9" s="6" t="str">
        <f aca="false">IF(D9&gt;0,"Sí","No")</f>
        <v>Sí</v>
      </c>
      <c r="F9" s="7" t="n">
        <v>46265</v>
      </c>
      <c r="G9" s="6" t="s">
        <v>72</v>
      </c>
    </row>
    <row r="10" customFormat="false" ht="23.85" hidden="false" customHeight="false" outlineLevel="0" collapsed="false">
      <c r="A10" s="4" t="s">
        <v>73</v>
      </c>
      <c r="B10" s="5" t="n">
        <v>0.29</v>
      </c>
      <c r="C10" s="5"/>
      <c r="D10" s="5" t="n">
        <f aca="false">IFERROR(AVERAGE(B10,C10),0)</f>
        <v>0.29</v>
      </c>
      <c r="E10" s="6" t="str">
        <f aca="false">IF(D10&gt;0,"Sí","No")</f>
        <v>Sí</v>
      </c>
      <c r="F10" s="7" t="n">
        <v>46265</v>
      </c>
      <c r="G10" s="6" t="s">
        <v>74</v>
      </c>
    </row>
    <row r="11" customFormat="false" ht="15" hidden="false" customHeight="false" outlineLevel="0" collapsed="false">
      <c r="A11" s="4" t="s">
        <v>75</v>
      </c>
      <c r="B11" s="5" t="n">
        <v>0.07</v>
      </c>
      <c r="C11" s="5"/>
      <c r="D11" s="5" t="n">
        <f aca="false">IFERROR(AVERAGE(B11,C11),0)</f>
        <v>0.07</v>
      </c>
      <c r="E11" s="6" t="str">
        <f aca="false">IF(D11&gt;0,"Sí","No")</f>
        <v>Sí</v>
      </c>
      <c r="F11" s="7" t="n">
        <v>46265</v>
      </c>
      <c r="G11" s="6" t="s">
        <v>76</v>
      </c>
    </row>
    <row r="12" customFormat="false" ht="15" hidden="false" customHeight="false" outlineLevel="0" collapsed="false">
      <c r="A12" s="4" t="s">
        <v>77</v>
      </c>
      <c r="B12" s="5" t="n">
        <v>0.06</v>
      </c>
      <c r="C12" s="5"/>
      <c r="D12" s="5" t="n">
        <f aca="false">IFERROR(AVERAGE(B12,C12),0)</f>
        <v>0.06</v>
      </c>
      <c r="E12" s="6" t="str">
        <f aca="false">IF(D12&gt;0,"Sí","No")</f>
        <v>Sí</v>
      </c>
      <c r="F12" s="7" t="n">
        <v>46265</v>
      </c>
      <c r="G12" s="6" t="s">
        <v>78</v>
      </c>
    </row>
    <row r="13" customFormat="false" ht="23.85" hidden="false" customHeight="false" outlineLevel="0" collapsed="false">
      <c r="A13" s="4" t="s">
        <v>79</v>
      </c>
      <c r="B13" s="5" t="n">
        <v>0.03</v>
      </c>
      <c r="C13" s="5"/>
      <c r="D13" s="5" t="n">
        <f aca="false">IFERROR(AVERAGE(B13,C13),0)</f>
        <v>0.03</v>
      </c>
      <c r="E13" s="6" t="str">
        <f aca="false">IF(D13&gt;0,"Sí","No")</f>
        <v>Sí</v>
      </c>
      <c r="F13" s="7" t="n">
        <v>46265</v>
      </c>
      <c r="G13" s="6" t="s">
        <v>80</v>
      </c>
    </row>
    <row r="14" customFormat="false" ht="15" hidden="false" customHeight="false" outlineLevel="0" collapsed="false">
      <c r="A14" s="4" t="s">
        <v>81</v>
      </c>
      <c r="B14" s="5" t="n">
        <v>0</v>
      </c>
      <c r="C14" s="5"/>
      <c r="D14" s="5" t="n">
        <f aca="false">IFERROR(AVERAGE(B14,C14),0)</f>
        <v>0</v>
      </c>
      <c r="E14" s="6" t="str">
        <f aca="false">IF(D14&gt;0,"Sí","No")</f>
        <v>No</v>
      </c>
      <c r="F14" s="7" t="n">
        <v>46265</v>
      </c>
      <c r="G14" s="6"/>
    </row>
    <row r="15" customFormat="false" ht="15" hidden="false" customHeight="false" outlineLevel="0" collapsed="false">
      <c r="A15" s="4" t="s">
        <v>82</v>
      </c>
      <c r="B15" s="5" t="n">
        <v>0</v>
      </c>
      <c r="C15" s="5"/>
      <c r="D15" s="5" t="n">
        <f aca="false">IFERROR(AVERAGE(B15,C15),0)</f>
        <v>0</v>
      </c>
      <c r="E15" s="6" t="str">
        <f aca="false">IF(D15&gt;0,"Sí","No")</f>
        <v>No</v>
      </c>
      <c r="F15" s="7" t="n">
        <v>46265</v>
      </c>
      <c r="G15" s="6"/>
    </row>
    <row r="16" customFormat="false" ht="15" hidden="false" customHeight="false" outlineLevel="0" collapsed="false">
      <c r="A16" s="4" t="s">
        <v>83</v>
      </c>
      <c r="B16" s="5" t="n">
        <v>0</v>
      </c>
      <c r="C16" s="5"/>
      <c r="D16" s="5" t="n">
        <f aca="false">IFERROR(AVERAGE(B16,C16),0)</f>
        <v>0</v>
      </c>
      <c r="E16" s="6" t="str">
        <f aca="false">IF(D16&gt;0,"Sí","No")</f>
        <v>No</v>
      </c>
      <c r="F16" s="7" t="n">
        <v>46265</v>
      </c>
      <c r="G16" s="6"/>
    </row>
    <row r="17" customFormat="false" ht="15" hidden="false" customHeight="false" outlineLevel="0" collapsed="false">
      <c r="A17" s="4" t="s">
        <v>84</v>
      </c>
      <c r="B17" s="5" t="n">
        <v>0</v>
      </c>
      <c r="C17" s="5"/>
      <c r="D17" s="5" t="n">
        <f aca="false">IFERROR(AVERAGE(B17,C17),0)</f>
        <v>0</v>
      </c>
      <c r="E17" s="6" t="str">
        <f aca="false">IF(D17&gt;0,"Sí","No")</f>
        <v>No</v>
      </c>
      <c r="F17" s="7" t="n">
        <v>46265</v>
      </c>
      <c r="G17" s="6"/>
    </row>
    <row r="18" customFormat="false" ht="15" hidden="false" customHeight="false" outlineLevel="0" collapsed="false">
      <c r="A18" s="4" t="s">
        <v>85</v>
      </c>
      <c r="B18" s="5" t="n">
        <v>0</v>
      </c>
      <c r="C18" s="5"/>
      <c r="D18" s="5" t="n">
        <f aca="false">IFERROR(AVERAGE(B18,C18),0)</f>
        <v>0</v>
      </c>
      <c r="E18" s="6" t="str">
        <f aca="false">IF(D18&gt;0,"Sí","No")</f>
        <v>No</v>
      </c>
      <c r="F18" s="7" t="n">
        <v>46265</v>
      </c>
      <c r="G18" s="6"/>
    </row>
    <row r="19" customFormat="false" ht="15" hidden="false" customHeight="false" outlineLevel="0" collapsed="false">
      <c r="A19" s="4" t="s">
        <v>86</v>
      </c>
      <c r="B19" s="5" t="n">
        <v>0</v>
      </c>
      <c r="C19" s="5"/>
      <c r="D19" s="5" t="n">
        <f aca="false">IFERROR(AVERAGE(B19,C19),0)</f>
        <v>0</v>
      </c>
      <c r="E19" s="6" t="str">
        <f aca="false">IF(D19&gt;0,"Sí","No")</f>
        <v>No</v>
      </c>
      <c r="F19" s="7" t="n">
        <v>46265</v>
      </c>
      <c r="G19" s="6"/>
    </row>
    <row r="20" customFormat="false" ht="15" hidden="false" customHeight="false" outlineLevel="0" collapsed="false">
      <c r="A20" s="4" t="s">
        <v>87</v>
      </c>
      <c r="B20" s="5" t="n">
        <v>0</v>
      </c>
      <c r="C20" s="5"/>
      <c r="D20" s="5" t="n">
        <f aca="false">IFERROR(AVERAGE(B20,C20),0)</f>
        <v>0</v>
      </c>
      <c r="E20" s="6" t="str">
        <f aca="false">IF(D20&gt;0,"Sí","No")</f>
        <v>No</v>
      </c>
      <c r="F20" s="7" t="n">
        <v>46265</v>
      </c>
      <c r="G20" s="6"/>
    </row>
    <row r="21" customFormat="false" ht="15" hidden="false" customHeight="false" outlineLevel="0" collapsed="false">
      <c r="A21" s="4" t="s">
        <v>88</v>
      </c>
      <c r="B21" s="5" t="n">
        <v>0</v>
      </c>
      <c r="C21" s="5"/>
      <c r="D21" s="5" t="n">
        <f aca="false">IFERROR(AVERAGE(B21,C21),0)</f>
        <v>0</v>
      </c>
      <c r="E21" s="6" t="str">
        <f aca="false">IF(D21&gt;0,"Sí","No")</f>
        <v>No</v>
      </c>
      <c r="F21" s="7" t="n">
        <v>46265</v>
      </c>
      <c r="G21" s="6"/>
    </row>
    <row r="22" customFormat="false" ht="15" hidden="false" customHeight="false" outlineLevel="0" collapsed="false">
      <c r="A22" s="4" t="s">
        <v>89</v>
      </c>
      <c r="B22" s="5" t="n">
        <v>0</v>
      </c>
      <c r="C22" s="5"/>
      <c r="D22" s="5" t="n">
        <f aca="false">IFERROR(AVERAGE(B22,C22),0)</f>
        <v>0</v>
      </c>
      <c r="E22" s="6" t="str">
        <f aca="false">IF(D22&gt;0,"Sí","No")</f>
        <v>No</v>
      </c>
      <c r="F22" s="7" t="n">
        <v>46265</v>
      </c>
      <c r="G22" s="6"/>
    </row>
    <row r="23" customFormat="false" ht="15" hidden="false" customHeight="false" outlineLevel="0" collapsed="false">
      <c r="A23" s="4" t="s">
        <v>90</v>
      </c>
      <c r="B23" s="5" t="n">
        <v>0</v>
      </c>
      <c r="C23" s="5"/>
      <c r="D23" s="5" t="n">
        <f aca="false">IFERROR(AVERAGE(B23,C23),0)</f>
        <v>0</v>
      </c>
      <c r="E23" s="6" t="str">
        <f aca="false">IF(D23&gt;0,"Sí","No")</f>
        <v>No</v>
      </c>
      <c r="F23" s="7" t="n">
        <v>46265</v>
      </c>
      <c r="G23" s="6"/>
    </row>
    <row r="24" customFormat="false" ht="15" hidden="false" customHeight="false" outlineLevel="0" collapsed="false">
      <c r="A24" s="4" t="s">
        <v>91</v>
      </c>
      <c r="B24" s="5" t="n">
        <v>0</v>
      </c>
      <c r="C24" s="5"/>
      <c r="D24" s="5" t="n">
        <f aca="false">IFERROR(AVERAGE(B24,C24),0)</f>
        <v>0</v>
      </c>
      <c r="E24" s="6" t="str">
        <f aca="false">IF(D24&gt;0,"Sí","No")</f>
        <v>No</v>
      </c>
      <c r="F24" s="7" t="n">
        <v>46265</v>
      </c>
      <c r="G24" s="6"/>
    </row>
    <row r="25" customFormat="false" ht="15" hidden="false" customHeight="false" outlineLevel="0" collapsed="false">
      <c r="A25" s="4" t="s">
        <v>92</v>
      </c>
      <c r="B25" s="5" t="n">
        <v>0</v>
      </c>
      <c r="C25" s="5"/>
      <c r="D25" s="5" t="n">
        <f aca="false">IFERROR(AVERAGE(B25,C25),0)</f>
        <v>0</v>
      </c>
      <c r="E25" s="6" t="str">
        <f aca="false">IF(D25&gt;0,"Sí","No")</f>
        <v>No</v>
      </c>
      <c r="F25" s="7" t="n">
        <v>46265</v>
      </c>
      <c r="G25" s="6"/>
    </row>
    <row r="26" customFormat="false" ht="15" hidden="false" customHeight="false" outlineLevel="0" collapsed="false">
      <c r="A26" s="4" t="s">
        <v>93</v>
      </c>
      <c r="B26" s="5" t="n">
        <v>0</v>
      </c>
      <c r="C26" s="5"/>
      <c r="D26" s="5" t="n">
        <f aca="false">IFERROR(AVERAGE(B26,C26),0)</f>
        <v>0</v>
      </c>
      <c r="E26" s="6" t="str">
        <f aca="false">IF(D26&gt;0,"Sí","No")</f>
        <v>No</v>
      </c>
      <c r="F26" s="7" t="n">
        <v>46265</v>
      </c>
      <c r="G26" s="6"/>
    </row>
    <row r="27" customFormat="false" ht="23.85" hidden="false" customHeight="false" outlineLevel="0" collapsed="false">
      <c r="A27" s="4" t="s">
        <v>94</v>
      </c>
      <c r="B27" s="5" t="n">
        <v>0</v>
      </c>
      <c r="C27" s="5"/>
      <c r="D27" s="5" t="n">
        <f aca="false">IFERROR(AVERAGE(B27,C27),0)</f>
        <v>0</v>
      </c>
      <c r="E27" s="6" t="str">
        <f aca="false">IF(D27&gt;0,"Sí","No")</f>
        <v>No</v>
      </c>
      <c r="F27" s="7" t="n">
        <v>46265</v>
      </c>
      <c r="G27" s="6" t="s">
        <v>95</v>
      </c>
    </row>
    <row r="28" customFormat="false" ht="15" hidden="false" customHeight="false" outlineLevel="0" collapsed="false">
      <c r="A28" s="4" t="s">
        <v>96</v>
      </c>
      <c r="B28" s="5" t="n">
        <v>0</v>
      </c>
      <c r="C28" s="5"/>
      <c r="D28" s="5" t="n">
        <f aca="false">IFERROR(AVERAGE(B28,C28),0)</f>
        <v>0</v>
      </c>
      <c r="E28" s="6" t="str">
        <f aca="false">IF(D28&gt;0,"Sí","No")</f>
        <v>No</v>
      </c>
      <c r="F28" s="7" t="n">
        <v>46265</v>
      </c>
      <c r="G28" s="6"/>
    </row>
    <row r="29" customFormat="false" ht="15" hidden="false" customHeight="false" outlineLevel="0" collapsed="false">
      <c r="A29" s="4" t="s">
        <v>97</v>
      </c>
      <c r="B29" s="5" t="n">
        <v>0</v>
      </c>
      <c r="C29" s="5"/>
      <c r="D29" s="5" t="n">
        <f aca="false">IFERROR(AVERAGE(B29,C29),0)</f>
        <v>0</v>
      </c>
      <c r="E29" s="6" t="str">
        <f aca="false">IF(D29&gt;0,"Sí","No")</f>
        <v>No</v>
      </c>
      <c r="F29" s="7" t="n">
        <v>46265</v>
      </c>
      <c r="G29" s="6"/>
    </row>
    <row r="30" customFormat="false" ht="15" hidden="false" customHeight="false" outlineLevel="0" collapsed="false">
      <c r="A30" s="4" t="s">
        <v>98</v>
      </c>
      <c r="B30" s="5" t="n">
        <v>0</v>
      </c>
      <c r="C30" s="5"/>
      <c r="D30" s="5" t="n">
        <f aca="false">IFERROR(AVERAGE(B30,C30),0)</f>
        <v>0</v>
      </c>
      <c r="E30" s="6" t="str">
        <f aca="false">IF(D30&gt;0,"Sí","No")</f>
        <v>No</v>
      </c>
      <c r="F30" s="7" t="n">
        <v>46265</v>
      </c>
      <c r="G30" s="6"/>
    </row>
    <row r="31" customFormat="false" ht="15" hidden="false" customHeight="false" outlineLevel="0" collapsed="false">
      <c r="A31" s="4" t="s">
        <v>99</v>
      </c>
      <c r="B31" s="5" t="n">
        <v>0</v>
      </c>
      <c r="C31" s="5"/>
      <c r="D31" s="5" t="n">
        <f aca="false">IFERROR(AVERAGE(B31,C31),0)</f>
        <v>0</v>
      </c>
      <c r="E31" s="6" t="str">
        <f aca="false">IF(D31&gt;0,"Sí","No")</f>
        <v>No</v>
      </c>
      <c r="F31" s="7" t="n">
        <v>46265</v>
      </c>
      <c r="G31" s="6"/>
    </row>
    <row r="32" customFormat="false" ht="15" hidden="false" customHeight="false" outlineLevel="0" collapsed="false">
      <c r="A32" s="4" t="s">
        <v>100</v>
      </c>
      <c r="B32" s="5" t="n">
        <v>0</v>
      </c>
      <c r="C32" s="5"/>
      <c r="D32" s="5" t="n">
        <f aca="false">IFERROR(AVERAGE(B32,C32),0)</f>
        <v>0</v>
      </c>
      <c r="E32" s="6" t="str">
        <f aca="false">IF(D32&gt;0,"Sí","No")</f>
        <v>No</v>
      </c>
      <c r="F32" s="7" t="n">
        <v>46265</v>
      </c>
      <c r="G32" s="6"/>
    </row>
    <row r="33" customFormat="false" ht="15" hidden="false" customHeight="false" outlineLevel="0" collapsed="false">
      <c r="A33" s="4" t="s">
        <v>101</v>
      </c>
      <c r="B33" s="5" t="n">
        <v>0</v>
      </c>
      <c r="C33" s="5"/>
      <c r="D33" s="5" t="n">
        <f aca="false">IFERROR(AVERAGE(B33,C33),0)</f>
        <v>0</v>
      </c>
      <c r="E33" s="6" t="str">
        <f aca="false">IF(D33&gt;0,"Sí","No")</f>
        <v>No</v>
      </c>
      <c r="F33" s="7" t="n">
        <v>46265</v>
      </c>
      <c r="G33" s="6"/>
    </row>
    <row r="34" customFormat="false" ht="15" hidden="false" customHeight="false" outlineLevel="0" collapsed="false">
      <c r="A34" s="4" t="s">
        <v>102</v>
      </c>
      <c r="B34" s="5" t="n">
        <v>0</v>
      </c>
      <c r="C34" s="5"/>
      <c r="D34" s="5" t="n">
        <f aca="false">IFERROR(AVERAGE(B34,C34),0)</f>
        <v>0</v>
      </c>
      <c r="E34" s="6" t="str">
        <f aca="false">IF(D34&gt;0,"Sí","No")</f>
        <v>No</v>
      </c>
      <c r="F34" s="7" t="n">
        <v>46265</v>
      </c>
      <c r="G34" s="6"/>
    </row>
    <row r="35" customFormat="false" ht="15" hidden="false" customHeight="false" outlineLevel="0" collapsed="false">
      <c r="A35" s="4" t="s">
        <v>103</v>
      </c>
      <c r="B35" s="5" t="n">
        <v>0</v>
      </c>
      <c r="C35" s="5"/>
      <c r="D35" s="5" t="n">
        <f aca="false">IFERROR(AVERAGE(B35,C35),0)</f>
        <v>0</v>
      </c>
      <c r="E35" s="6" t="str">
        <f aca="false">IF(D35&gt;0,"Sí","No")</f>
        <v>No</v>
      </c>
      <c r="F35" s="7" t="n">
        <v>46265</v>
      </c>
      <c r="G35" s="6"/>
    </row>
    <row r="36" customFormat="false" ht="15" hidden="false" customHeight="false" outlineLevel="0" collapsed="false">
      <c r="A36" s="4" t="s">
        <v>104</v>
      </c>
      <c r="B36" s="5" t="n">
        <v>0</v>
      </c>
      <c r="C36" s="5"/>
      <c r="D36" s="5" t="n">
        <f aca="false">IFERROR(AVERAGE(B36,C36),0)</f>
        <v>0</v>
      </c>
      <c r="E36" s="6" t="str">
        <f aca="false">IF(D36&gt;0,"Sí","No")</f>
        <v>No</v>
      </c>
      <c r="F36" s="7" t="n">
        <v>46265</v>
      </c>
      <c r="G36" s="6"/>
    </row>
    <row r="37" customFormat="false" ht="15" hidden="false" customHeight="false" outlineLevel="0" collapsed="false">
      <c r="A37" s="4" t="s">
        <v>105</v>
      </c>
      <c r="B37" s="5" t="n">
        <v>0</v>
      </c>
      <c r="C37" s="5"/>
      <c r="D37" s="5" t="n">
        <f aca="false">IFERROR(AVERAGE(B37,C37),0)</f>
        <v>0</v>
      </c>
      <c r="E37" s="6" t="str">
        <f aca="false">IF(D37&gt;0,"Sí","No")</f>
        <v>No</v>
      </c>
      <c r="F37" s="7" t="n">
        <v>46265</v>
      </c>
      <c r="G37" s="6"/>
    </row>
    <row r="38" customFormat="false" ht="15" hidden="false" customHeight="false" outlineLevel="0" collapsed="false">
      <c r="A38" s="4" t="s">
        <v>106</v>
      </c>
      <c r="B38" s="5" t="n">
        <v>0</v>
      </c>
      <c r="C38" s="5"/>
      <c r="D38" s="5" t="n">
        <f aca="false">IFERROR(AVERAGE(B38,C38),0)</f>
        <v>0</v>
      </c>
      <c r="E38" s="6" t="str">
        <f aca="false">IF(D38&gt;0,"Sí","No")</f>
        <v>No</v>
      </c>
      <c r="F38" s="7" t="n">
        <v>46265</v>
      </c>
      <c r="G38" s="6"/>
    </row>
    <row r="39" customFormat="false" ht="15" hidden="false" customHeight="false" outlineLevel="0" collapsed="false">
      <c r="A39" s="4" t="s">
        <v>107</v>
      </c>
      <c r="B39" s="5" t="n">
        <v>0</v>
      </c>
      <c r="C39" s="5"/>
      <c r="D39" s="5" t="n">
        <f aca="false">IFERROR(AVERAGE(B39,C39),0)</f>
        <v>0</v>
      </c>
      <c r="E39" s="6" t="str">
        <f aca="false">IF(D39&gt;0,"Sí","No")</f>
        <v>No</v>
      </c>
      <c r="F39" s="7" t="n">
        <v>46265</v>
      </c>
      <c r="G39" s="6"/>
    </row>
    <row r="40" customFormat="false" ht="15" hidden="false" customHeight="false" outlineLevel="0" collapsed="false">
      <c r="A40" s="4" t="s">
        <v>108</v>
      </c>
      <c r="B40" s="5" t="n">
        <v>0</v>
      </c>
      <c r="C40" s="5"/>
      <c r="D40" s="5" t="n">
        <f aca="false">IFERROR(AVERAGE(B40,C40),0)</f>
        <v>0</v>
      </c>
      <c r="E40" s="6" t="str">
        <f aca="false">IF(D40&gt;0,"Sí","No")</f>
        <v>No</v>
      </c>
      <c r="F40" s="7" t="n">
        <v>46265</v>
      </c>
      <c r="G40" s="6"/>
    </row>
    <row r="41" customFormat="false" ht="15" hidden="false" customHeight="false" outlineLevel="0" collapsed="false">
      <c r="A41" s="4" t="s">
        <v>109</v>
      </c>
      <c r="B41" s="5" t="n">
        <v>0</v>
      </c>
      <c r="C41" s="5"/>
      <c r="D41" s="5" t="n">
        <f aca="false">IFERROR(AVERAGE(B41,C41),0)</f>
        <v>0</v>
      </c>
      <c r="E41" s="6" t="str">
        <f aca="false">IF(D41&gt;0,"Sí","No")</f>
        <v>No</v>
      </c>
      <c r="F41" s="7" t="n">
        <v>46265</v>
      </c>
      <c r="G41" s="6"/>
    </row>
    <row r="42" customFormat="false" ht="15" hidden="false" customHeight="false" outlineLevel="0" collapsed="false">
      <c r="A42" s="4" t="s">
        <v>110</v>
      </c>
      <c r="B42" s="5" t="n">
        <v>0</v>
      </c>
      <c r="C42" s="5"/>
      <c r="D42" s="5" t="n">
        <f aca="false">IFERROR(AVERAGE(B42,C42),0)</f>
        <v>0</v>
      </c>
      <c r="E42" s="6" t="str">
        <f aca="false">IF(D42&gt;0,"Sí","No")</f>
        <v>No</v>
      </c>
      <c r="F42" s="7" t="n">
        <v>46265</v>
      </c>
      <c r="G42" s="6"/>
    </row>
    <row r="43" customFormat="false" ht="15" hidden="false" customHeight="false" outlineLevel="0" collapsed="false">
      <c r="A43" s="4" t="s">
        <v>111</v>
      </c>
      <c r="B43" s="5" t="n">
        <v>0</v>
      </c>
      <c r="C43" s="5"/>
      <c r="D43" s="5" t="n">
        <f aca="false">IFERROR(AVERAGE(B43,C43),0)</f>
        <v>0</v>
      </c>
      <c r="E43" s="6" t="str">
        <f aca="false">IF(D43&gt;0,"Sí","No")</f>
        <v>No</v>
      </c>
      <c r="F43" s="7" t="n">
        <v>46265</v>
      </c>
      <c r="G43" s="6"/>
    </row>
    <row r="44" customFormat="false" ht="15" hidden="false" customHeight="false" outlineLevel="0" collapsed="false">
      <c r="A44" s="4" t="s">
        <v>112</v>
      </c>
      <c r="B44" s="5" t="n">
        <v>0</v>
      </c>
      <c r="C44" s="5"/>
      <c r="D44" s="5" t="n">
        <f aca="false">IFERROR(AVERAGE(B44,C44),0)</f>
        <v>0</v>
      </c>
      <c r="E44" s="6" t="str">
        <f aca="false">IF(D44&gt;0,"Sí","No")</f>
        <v>No</v>
      </c>
      <c r="F44" s="7" t="n">
        <v>46265</v>
      </c>
      <c r="G44" s="6"/>
    </row>
    <row r="45" customFormat="false" ht="15" hidden="false" customHeight="false" outlineLevel="0" collapsed="false">
      <c r="A45" s="4" t="s">
        <v>113</v>
      </c>
      <c r="B45" s="5" t="n">
        <v>0</v>
      </c>
      <c r="C45" s="5"/>
      <c r="D45" s="5" t="n">
        <f aca="false">IFERROR(AVERAGE(B45,C45),0)</f>
        <v>0</v>
      </c>
      <c r="E45" s="6" t="str">
        <f aca="false">IF(D45&gt;0,"Sí","No")</f>
        <v>No</v>
      </c>
      <c r="F45" s="7" t="n">
        <v>46265</v>
      </c>
      <c r="G45" s="6" t="s">
        <v>114</v>
      </c>
    </row>
    <row r="46" customFormat="false" ht="15" hidden="false" customHeight="false" outlineLevel="0" collapsed="false">
      <c r="A46" s="4" t="s">
        <v>115</v>
      </c>
      <c r="B46" s="5" t="n">
        <v>0</v>
      </c>
      <c r="C46" s="5"/>
      <c r="D46" s="5" t="n">
        <f aca="false">IFERROR(AVERAGE(B46,C46),0)</f>
        <v>0</v>
      </c>
      <c r="E46" s="6" t="str">
        <f aca="false">IF(D46&gt;0,"Sí","No")</f>
        <v>No</v>
      </c>
      <c r="F46" s="7" t="n">
        <v>46265</v>
      </c>
      <c r="G46" s="6"/>
    </row>
    <row r="47" customFormat="false" ht="15" hidden="false" customHeight="false" outlineLevel="0" collapsed="false">
      <c r="A47" s="4" t="s">
        <v>116</v>
      </c>
      <c r="B47" s="5" t="n">
        <v>0</v>
      </c>
      <c r="C47" s="5"/>
      <c r="D47" s="5" t="n">
        <f aca="false">IFERROR(AVERAGE(B47,C47),0)</f>
        <v>0</v>
      </c>
      <c r="E47" s="6" t="str">
        <f aca="false">IF(D47&gt;0,"Sí","No")</f>
        <v>No</v>
      </c>
      <c r="F47" s="7" t="n">
        <v>46265</v>
      </c>
      <c r="G47" s="6"/>
    </row>
    <row r="48" customFormat="false" ht="23.85" hidden="false" customHeight="false" outlineLevel="0" collapsed="false">
      <c r="A48" s="4" t="s">
        <v>117</v>
      </c>
      <c r="B48" s="5" t="n">
        <v>0</v>
      </c>
      <c r="C48" s="5"/>
      <c r="D48" s="5" t="n">
        <f aca="false">IFERROR(AVERAGE(B48,C48),0)</f>
        <v>0</v>
      </c>
      <c r="E48" s="6" t="str">
        <f aca="false">IF(D48&gt;0,"Sí","No")</f>
        <v>No</v>
      </c>
      <c r="F48" s="7" t="n">
        <v>46265</v>
      </c>
      <c r="G48" s="6" t="s">
        <v>118</v>
      </c>
    </row>
    <row r="49" customFormat="false" ht="15" hidden="false" customHeight="false" outlineLevel="0" collapsed="false">
      <c r="A49" s="4" t="s">
        <v>119</v>
      </c>
      <c r="B49" s="5" t="n">
        <v>0</v>
      </c>
      <c r="C49" s="5"/>
      <c r="D49" s="5" t="n">
        <f aca="false">IFERROR(AVERAGE(B49,C49),0)</f>
        <v>0</v>
      </c>
      <c r="E49" s="6" t="str">
        <f aca="false">IF(D49&gt;0,"Sí","No")</f>
        <v>No</v>
      </c>
      <c r="F49" s="7" t="n">
        <v>46265</v>
      </c>
      <c r="G49" s="6"/>
    </row>
    <row r="50" customFormat="false" ht="15" hidden="false" customHeight="false" outlineLevel="0" collapsed="false">
      <c r="A50" s="4" t="s">
        <v>120</v>
      </c>
      <c r="B50" s="5" t="n">
        <v>0</v>
      </c>
      <c r="C50" s="5"/>
      <c r="D50" s="5" t="n">
        <f aca="false">IFERROR(AVERAGE(B50,C50),0)</f>
        <v>0</v>
      </c>
      <c r="E50" s="6" t="str">
        <f aca="false">IF(D50&gt;0,"Sí","No")</f>
        <v>No</v>
      </c>
      <c r="F50" s="7" t="n">
        <v>46265</v>
      </c>
      <c r="G50" s="6"/>
    </row>
    <row r="51" customFormat="false" ht="15" hidden="false" customHeight="false" outlineLevel="0" collapsed="false">
      <c r="A51" s="4" t="s">
        <v>121</v>
      </c>
      <c r="B51" s="5" t="n">
        <v>0</v>
      </c>
      <c r="C51" s="5"/>
      <c r="D51" s="5" t="n">
        <f aca="false">IFERROR(AVERAGE(B51,C51),0)</f>
        <v>0</v>
      </c>
      <c r="E51" s="6" t="str">
        <f aca="false">IF(D51&gt;0,"Sí","No")</f>
        <v>No</v>
      </c>
      <c r="F51" s="7" t="n">
        <v>46265</v>
      </c>
      <c r="G51" s="6"/>
    </row>
    <row r="52" customFormat="false" ht="15" hidden="false" customHeight="false" outlineLevel="0" collapsed="false">
      <c r="A52" s="4" t="s">
        <v>122</v>
      </c>
      <c r="B52" s="5" t="n">
        <v>0</v>
      </c>
      <c r="C52" s="5"/>
      <c r="D52" s="5" t="n">
        <f aca="false">IFERROR(AVERAGE(B52,C52),0)</f>
        <v>0</v>
      </c>
      <c r="E52" s="6" t="str">
        <f aca="false">IF(D52&gt;0,"Sí","No")</f>
        <v>No</v>
      </c>
      <c r="F52" s="7" t="n">
        <v>46265</v>
      </c>
      <c r="G52" s="6"/>
    </row>
    <row r="53" customFormat="false" ht="15" hidden="false" customHeight="false" outlineLevel="0" collapsed="false">
      <c r="A53" s="4" t="s">
        <v>123</v>
      </c>
      <c r="B53" s="5" t="n">
        <v>0</v>
      </c>
      <c r="C53" s="5"/>
      <c r="D53" s="5" t="n">
        <f aca="false">IFERROR(AVERAGE(B53,C53),0)</f>
        <v>0</v>
      </c>
      <c r="E53" s="6" t="str">
        <f aca="false">IF(D53&gt;0,"Sí","No")</f>
        <v>No</v>
      </c>
      <c r="F53" s="7" t="n">
        <v>46265</v>
      </c>
      <c r="G53" s="6"/>
    </row>
    <row r="54" customFormat="false" ht="15" hidden="false" customHeight="false" outlineLevel="0" collapsed="false">
      <c r="A54" s="4" t="s">
        <v>124</v>
      </c>
      <c r="B54" s="5" t="n">
        <v>0</v>
      </c>
      <c r="C54" s="5"/>
      <c r="D54" s="5" t="n">
        <f aca="false">IFERROR(AVERAGE(B54,C54),0)</f>
        <v>0</v>
      </c>
      <c r="E54" s="6" t="str">
        <f aca="false">IF(D54&gt;0,"Sí","No")</f>
        <v>No</v>
      </c>
      <c r="F54" s="7" t="n">
        <v>46265</v>
      </c>
      <c r="G54" s="6"/>
    </row>
    <row r="55" customFormat="false" ht="15" hidden="false" customHeight="false" outlineLevel="0" collapsed="false">
      <c r="A55" s="4" t="s">
        <v>125</v>
      </c>
      <c r="B55" s="5" t="n">
        <v>0</v>
      </c>
      <c r="C55" s="5"/>
      <c r="D55" s="5" t="n">
        <f aca="false">IFERROR(AVERAGE(B55,C55),0)</f>
        <v>0</v>
      </c>
      <c r="E55" s="6" t="str">
        <f aca="false">IF(D55&gt;0,"Sí","No")</f>
        <v>No</v>
      </c>
      <c r="F55" s="7" t="n">
        <v>46265</v>
      </c>
      <c r="G55" s="6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2026-08-31T16:36:49Z</dcterms:created>
  <dc:creator>openpyxl</dc:creator>
  <dc:description/>
  <dc:language>en-US</dc:language>
  <cp:lastModifiedBy/>
  <dcterms:modified xsi:type="dcterms:W3CDTF">2026-08-31T16:36:49Z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