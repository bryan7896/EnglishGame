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las gramaticales" sheetId="1" state="visible" r:id="rId3"/>
    <sheet name="Temas y activida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Fórmulas: D=promedio de Tanda A y B (ignora vacíos) · F=Sí solo si 3+ tandas ≥60% (por ahora imposible con 2 columnas, es intencional) · G=Débil &lt;40%, Medio 40-69%, Fuerte ≥70%.</t>
        </r>
      </text>
    </comment>
  </commentList>
</comments>
</file>

<file path=xl/sharedStrings.xml><?xml version="1.0" encoding="utf-8"?>
<sst xmlns="http://schemas.openxmlformats.org/spreadsheetml/2006/main" count="162" uniqueCount="133">
  <si>
    <t xml:space="preserve">A1 Italiano — Progreso de reglas gramaticales</t>
  </si>
  <si>
    <t xml:space="preserve">Meta: 70% dominado por regla. La regla se considera realmente alcanzada solo cuando al menos 3 tandas distintas reportan ≥60% (columna G). Cada vez que se agregue un informe nuevo, insertar una columna de Tanda adicional aquí (antes de 'Última evaluación') y extender las fórmulas de esa fila hacia la derecha.</t>
  </si>
  <si>
    <t xml:space="preserve">Regla gramatical</t>
  </si>
  <si>
    <t xml:space="preserve">Tanda A</t>
  </si>
  <si>
    <t xml:space="preserve">Tanda B</t>
  </si>
  <si>
    <t xml:space="preserve">Tanda C</t>
  </si>
  <si>
    <t xml:space="preserve">Última evaluación</t>
  </si>
  <si>
    <t xml:space="preserve">Meta actual</t>
  </si>
  <si>
    <t xml:space="preserve">¿Meta alcanzada?</t>
  </si>
  <si>
    <t xml:space="preserve">Estado</t>
  </si>
  <si>
    <t xml:space="preserve">Fecha agregada</t>
  </si>
  <si>
    <t xml:space="preserve">Notas</t>
  </si>
  <si>
    <t xml:space="preserve">Artículos determinados</t>
  </si>
  <si>
    <t xml:space="preserve">Tanda A 60% -&gt; B 70% -&gt; C 78% (primer intento 72%, ya resuelto del todo en repaso). Con 3 tandas seguidas por encima del 60%, esta regla ya cumple la meta de consistencia. Sigue apareciendo el error i/gli, pero cada vez con menos frecuencia.</t>
  </si>
  <si>
    <t xml:space="preserve">Artículos indeterminados</t>
  </si>
  <si>
    <t xml:space="preserve">Tanda A 86% -&gt; B 75% -&gt; C 76%. Estable en la franja 75-85%, cumple la meta de 3 tandas consecutivas por encima del 60%.</t>
  </si>
  <si>
    <t xml:space="preserve">Género de los sustantivos</t>
  </si>
  <si>
    <t xml:space="preserve">Introducida en la Lección 1 de Práctica Inicial (clasificar maschile/femminile). Esa lección queda fuera del sistema de informes por diseño de la app, así que no hay datos medibles todavía — se refuerza indirectamente al elegir artículos.</t>
  </si>
  <si>
    <t xml:space="preserve">Singular y plural</t>
  </si>
  <si>
    <t xml:space="preserve">Aún no trabajada en esta tanda.</t>
  </si>
  <si>
    <t xml:space="preserve">Adjetivos y concordancia</t>
  </si>
  <si>
    <t xml:space="preserve">Tanda A 60% (género) -&gt; B 89% (género) -&gt; C 73% (ahora con foco en PLURAL: alti/alte, felici/felice). El género lo domina perfecto; el plural es una sub-habilidad más nueva y todavía se puede reforzar. Cumple la meta de 3 tandas ≥60%.</t>
  </si>
  <si>
    <t xml:space="preserve">Pronombres personales</t>
  </si>
  <si>
    <t xml:space="preserve">Aún no trabajada como regla independiente (se usa dentro de Essere).</t>
  </si>
  <si>
    <t xml:space="preserve">Presente de verbos regulares -are</t>
  </si>
  <si>
    <t xml:space="preserve">Presente de verbos regulares -ere</t>
  </si>
  <si>
    <t xml:space="preserve">Primeros datos medidos (apareció antes en un informe mixto sin cuantificar con precisión). Primer intento 74%, final 78%. En 'completar' acertó el 100% — el problema no es conocer la conjugación, es sostenerla al armar una frase completa (en 'corregir' bajó a 59%).</t>
  </si>
  <si>
    <t xml:space="preserve">Presente de verbos regulares -ire</t>
  </si>
  <si>
    <t xml:space="preserve">Verbos -isc</t>
  </si>
  <si>
    <t xml:space="preserve">Essere</t>
  </si>
  <si>
    <t xml:space="preserve">Tanda A 65% -&gt; Tanda B 81%. Sigue mejorando, aunque aparece un error nuevo: confundir essere con avere en frases donde tocaba avere (ver informe de errores).</t>
  </si>
  <si>
    <t xml:space="preserve">Avere</t>
  </si>
  <si>
    <t xml:space="preserve">Primera tanda con esta regla (introducida ahora). Debut fuerte (78% final), pero con un patrón de error muy claro: usar formas de essere (è, sei) en vez de avere (ha, hai), y confundir la persona (hanno en vez de abbiamo). Es más un tema de memorizar la tabla que de entender el concepto.</t>
  </si>
  <si>
    <t xml:space="preserve">Fare</t>
  </si>
  <si>
    <t xml:space="preserve">Andare</t>
  </si>
  <si>
    <t xml:space="preserve">Stare</t>
  </si>
  <si>
    <t xml:space="preserve">Venire</t>
  </si>
  <si>
    <t xml:space="preserve">Sapere</t>
  </si>
  <si>
    <t xml:space="preserve">Potere</t>
  </si>
  <si>
    <t xml:space="preserve">Volere</t>
  </si>
  <si>
    <t xml:space="preserve">Dovere</t>
  </si>
  <si>
    <t xml:space="preserve">Verbos reflexivos</t>
  </si>
  <si>
    <t xml:space="preserve">Forma negativa</t>
  </si>
  <si>
    <t xml:space="preserve">Interrogativos</t>
  </si>
  <si>
    <t xml:space="preserve">Preguntas</t>
  </si>
  <si>
    <t xml:space="preserve">Preposiciones simples</t>
  </si>
  <si>
    <t xml:space="preserve">Aparecen 'nella'/'nel' en algunas frases de dictado (Il tavolo è nella cucina) pero solo como vocabulario memorizado, sin ejercicio dedicado a la regla.</t>
  </si>
  <si>
    <t xml:space="preserve">Preposiciones articuladas</t>
  </si>
  <si>
    <t xml:space="preserve">Aún no trabajada como regla independiente (ver nota anterior).</t>
  </si>
  <si>
    <t xml:space="preserve">Adverbios básicos</t>
  </si>
  <si>
    <t xml:space="preserve">Adjetivos posesivos</t>
  </si>
  <si>
    <t xml:space="preserve">Adjetivos demostrativos</t>
  </si>
  <si>
    <t xml:space="preserve">C'è / Ci sono</t>
  </si>
  <si>
    <t xml:space="preserve">Mi piace / Mi piacciono</t>
  </si>
  <si>
    <t xml:space="preserve">Números</t>
  </si>
  <si>
    <t xml:space="preserve">Hora</t>
  </si>
  <si>
    <t xml:space="preserve">Fechas</t>
  </si>
  <si>
    <t xml:space="preserve">Días, meses y estaciones</t>
  </si>
  <si>
    <t xml:space="preserve">Imperativo básico</t>
  </si>
  <si>
    <t xml:space="preserve">Conectores básicos</t>
  </si>
  <si>
    <t xml:space="preserve">Passato prossimo básico</t>
  </si>
  <si>
    <t xml:space="preserve">A1 Italiano — Uso de temas y actividades</t>
  </si>
  <si>
    <t xml:space="preserve">% de uso = proporción de los ejercicios de esta tanda que tocaron ese tema/vocabulario (no mide dominio, solo cuánta exposición tuvo). 0% significa que ese tema aún no aparece en ningún ejercicio cargado.</t>
  </si>
  <si>
    <t xml:space="preserve">Actividad / Tema</t>
  </si>
  <si>
    <t xml:space="preserve">Tanda A (% uso)</t>
  </si>
  <si>
    <t xml:space="preserve">Tanda B (% uso)</t>
  </si>
  <si>
    <t xml:space="preserve">Tanda C (% uso)</t>
  </si>
  <si>
    <t xml:space="preserve">Uso acumulado</t>
  </si>
  <si>
    <t xml:space="preserve">¿Trabajada?</t>
  </si>
  <si>
    <t xml:space="preserve">Saludos y despedidas</t>
  </si>
  <si>
    <t xml:space="preserve">Ciao, buongiorno, buonasera, buonanotte, arrivederci, a presto, scusa, prego, grazie.</t>
  </si>
  <si>
    <t xml:space="preserve">Presentarse</t>
  </si>
  <si>
    <t xml:space="preserve">Piacere di conoscerti, Di dove sei? — muy poca exposición todavía.</t>
  </si>
  <si>
    <t xml:space="preserve">Información personal</t>
  </si>
  <si>
    <t xml:space="preserve">Familia</t>
  </si>
  <si>
    <t xml:space="preserve">Tanda B: Primera aparición real: fratello/sorella, de la mano de avere ('Ho un fratello'). | Tanda C: Se sumó 'bambini/bambine' (niños/niñas) a la práctica.</t>
  </si>
  <si>
    <t xml:space="preserve">Amigos</t>
  </si>
  <si>
    <t xml:space="preserve">Amico/amica en frases con essere (Noi siamo amici, L'amico è simpatico). | Tanda B: Amico/amica siguen apareciendo, ahora también con avere ('Ho un amico simpatico').</t>
  </si>
  <si>
    <t xml:space="preserve">Nacionalidad y países</t>
  </si>
  <si>
    <t xml:space="preserve">El tema más practicado por lejos: italiano, spagnolo, francese, tedesco, inglese, americano, messicano, colombiano.</t>
  </si>
  <si>
    <t xml:space="preserve">Profesiones</t>
  </si>
  <si>
    <t xml:space="preserve">Medico, insegnante, dottoressa, estudiante. | Tanda B: Se sumaron meccanico, farmacista, architetto, musicista junto con essere.</t>
  </si>
  <si>
    <t xml:space="preserve">Estudios</t>
  </si>
  <si>
    <t xml:space="preserve">Studente/studentessa, principalmente junto con artículos (lo studente). | Tanda B: Se sumó material escolar: quaderno, penna (cuaderno, pluma).</t>
  </si>
  <si>
    <t xml:space="preserve">Casa</t>
  </si>
  <si>
    <t xml:space="preserve">Cucina, salotto, tavolo, sedia — vocabulario de la casa apenas empezado.</t>
  </si>
  <si>
    <t xml:space="preserve">Habitaciones y muebles</t>
  </si>
  <si>
    <t xml:space="preserve">Ciudad</t>
  </si>
  <si>
    <t xml:space="preserve">Lugares públicos</t>
  </si>
  <si>
    <t xml:space="preserve">Direcciones</t>
  </si>
  <si>
    <t xml:space="preserve">Transporte</t>
  </si>
  <si>
    <t xml:space="preserve">Comida</t>
  </si>
  <si>
    <t xml:space="preserve">Bebidas</t>
  </si>
  <si>
    <t xml:space="preserve">Restaurante</t>
  </si>
  <si>
    <t xml:space="preserve">Supermercado</t>
  </si>
  <si>
    <t xml:space="preserve">Compras</t>
  </si>
  <si>
    <t xml:space="preserve">Ropa</t>
  </si>
  <si>
    <t xml:space="preserve">Colores</t>
  </si>
  <si>
    <t xml:space="preserve">Apariencia física</t>
  </si>
  <si>
    <t xml:space="preserve">Personalidad</t>
  </si>
  <si>
    <t xml:space="preserve">Simpatico aparece, pero suelto dentro de Essere, no como tema de personalidad dedicado.</t>
  </si>
  <si>
    <t xml:space="preserve">Rutina diaria</t>
  </si>
  <si>
    <t xml:space="preserve">Horarios</t>
  </si>
  <si>
    <t xml:space="preserve">Tiempo libre</t>
  </si>
  <si>
    <t xml:space="preserve">Hobbies</t>
  </si>
  <si>
    <t xml:space="preserve">Deportes</t>
  </si>
  <si>
    <t xml:space="preserve">Música</t>
  </si>
  <si>
    <t xml:space="preserve">Cine y televisión</t>
  </si>
  <si>
    <t xml:space="preserve">Clima</t>
  </si>
  <si>
    <t xml:space="preserve">Viajes</t>
  </si>
  <si>
    <t xml:space="preserve">Hotel</t>
  </si>
  <si>
    <t xml:space="preserve">Aeropuerto / estación</t>
  </si>
  <si>
    <t xml:space="preserve">Salud básica</t>
  </si>
  <si>
    <t xml:space="preserve">Partes del cuerpo</t>
  </si>
  <si>
    <t xml:space="preserve">Cumpleaños</t>
  </si>
  <si>
    <t xml:space="preserve">Dinero y precios</t>
  </si>
  <si>
    <t xml:space="preserve">Teléfono</t>
  </si>
  <si>
    <t xml:space="preserve">Invitaciones</t>
  </si>
  <si>
    <t xml:space="preserve">Agradecimientos y disculpas</t>
  </si>
  <si>
    <t xml:space="preserve">Scusa/prego aparecen pero se contaron dentro de Saludos y despedidas.</t>
  </si>
  <si>
    <t xml:space="preserve">Gustos y preferencias</t>
  </si>
  <si>
    <t xml:space="preserve">Necesidades y deseos</t>
  </si>
  <si>
    <t xml:space="preserve">Describir personas</t>
  </si>
  <si>
    <t xml:space="preserve">La ragazza è alta/Il ragazzo è basso se contaron dentro de Adjetivos y concordancia, no como tema aparte.</t>
  </si>
  <si>
    <t xml:space="preserve">Describir lugares</t>
  </si>
  <si>
    <t xml:space="preserve">Describir objetos</t>
  </si>
  <si>
    <t xml:space="preserve">Hablar de actividades diarias</t>
  </si>
  <si>
    <t xml:space="preserve">Escribir mensajes sencillos</t>
  </si>
  <si>
    <t xml:space="preserve">Tanda C: Se practicó scrivere (escribir) con frases simples.</t>
  </si>
  <si>
    <t xml:space="preserve">Leer textos sencillos</t>
  </si>
  <si>
    <t xml:space="preserve">Tanda C: Se practicó leggere (leer) con frases simples.</t>
  </si>
  <si>
    <t xml:space="preserve">Comprender conversaciones sencillas</t>
  </si>
  <si>
    <t xml:space="preserve">Mantener conversaciones básicas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</si>
</sst>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8A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A5A5"/>
        </patternFill>
      </fill>
    </dxf>
    <dxf>
      <fill>
        <patternFill>
          <bgColor rgb="FFFDE68A"/>
        </patternFill>
      </fill>
    </dxf>
    <dxf>
      <fill>
        <patternFill>
          <bgColor rgb="FF86EFA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86EFAC"/>
      <rgbColor rgb="FFFCA5A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0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6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34.5" hidden="false" customHeight="true" outlineLevel="0" collapsed="false">
      <c r="A5" s="5" t="s">
        <v>12</v>
      </c>
      <c r="B5" s="6" t="n">
        <v>0.6</v>
      </c>
      <c r="C5" s="6" t="n">
        <v>0.7</v>
      </c>
      <c r="D5" s="6" t="n">
        <v>0.78</v>
      </c>
      <c r="E5" s="6" t="n">
        <f aca="false">IFERROR(AVERAGE(B5:D5),"")</f>
        <v>0.693333333333333</v>
      </c>
      <c r="F5" s="6" t="n">
        <v>0.7</v>
      </c>
      <c r="G5" s="7" t="str">
        <f aca="false">IF(COUNTIF(B5:D5,"&gt;=0.6")&gt;=3,"Sí","No")</f>
        <v>Sí</v>
      </c>
      <c r="H5" s="7" t="str">
        <f aca="false">IF(E5="","Sin evaluar",IF(E5&gt;=0.7,"Fuerte",IF(E5&gt;=0.4,"Medio","Débil")))</f>
        <v>Medio</v>
      </c>
      <c r="I5" s="8" t="n">
        <v>46265</v>
      </c>
      <c r="J5" s="7" t="s">
        <v>13</v>
      </c>
    </row>
    <row r="6" customFormat="false" ht="34.5" hidden="false" customHeight="true" outlineLevel="0" collapsed="false">
      <c r="A6" s="5" t="s">
        <v>14</v>
      </c>
      <c r="B6" s="6" t="n">
        <v>0.86</v>
      </c>
      <c r="C6" s="6" t="n">
        <v>0.75</v>
      </c>
      <c r="D6" s="6" t="n">
        <v>0.76</v>
      </c>
      <c r="E6" s="6" t="n">
        <f aca="false">IFERROR(AVERAGE(B6:D6),"")</f>
        <v>0.79</v>
      </c>
      <c r="F6" s="6" t="n">
        <v>0.7</v>
      </c>
      <c r="G6" s="7" t="str">
        <f aca="false">IF(COUNTIF(B6:D6,"&gt;=0.6")&gt;=3,"Sí","No")</f>
        <v>Sí</v>
      </c>
      <c r="H6" s="7" t="str">
        <f aca="false">IF(E6="","Sin evaluar",IF(E6&gt;=0.7,"Fuerte",IF(E6&gt;=0.4,"Medio","Débil")))</f>
        <v>Fuerte</v>
      </c>
      <c r="I6" s="8" t="n">
        <v>46265</v>
      </c>
      <c r="J6" s="7" t="s">
        <v>15</v>
      </c>
    </row>
    <row r="7" customFormat="false" ht="45.75" hidden="false" customHeight="true" outlineLevel="0" collapsed="false">
      <c r="A7" s="5" t="s">
        <v>16</v>
      </c>
      <c r="B7" s="6"/>
      <c r="C7" s="6"/>
      <c r="D7" s="6"/>
      <c r="E7" s="6" t="str">
        <f aca="false">IFERROR(AVERAGE(B7:D7),"")</f>
        <v/>
      </c>
      <c r="F7" s="6" t="n">
        <v>0.7</v>
      </c>
      <c r="G7" s="7" t="str">
        <f aca="false">IF(COUNTIF(B7:D7,"&gt;=0.6")&gt;=3,"Sí","No")</f>
        <v>No</v>
      </c>
      <c r="H7" s="7" t="str">
        <f aca="false">IF(E7="","Sin evaluar",IF(E7&gt;=0.7,"Fuerte",IF(E7&gt;=0.4,"Medio","Débil")))</f>
        <v>Sin evaluar</v>
      </c>
      <c r="I7" s="8" t="n">
        <v>46265</v>
      </c>
      <c r="J7" s="7" t="s">
        <v>17</v>
      </c>
    </row>
    <row r="8" customFormat="false" ht="15" hidden="false" customHeight="true" outlineLevel="0" collapsed="false">
      <c r="A8" s="5" t="s">
        <v>18</v>
      </c>
      <c r="B8" s="6"/>
      <c r="C8" s="6"/>
      <c r="D8" s="6"/>
      <c r="E8" s="6" t="str">
        <f aca="false">IFERROR(AVERAGE(B8:D8),"")</f>
        <v/>
      </c>
      <c r="F8" s="6" t="n">
        <v>0.7</v>
      </c>
      <c r="G8" s="7" t="str">
        <f aca="false">IF(COUNTIF(B8:D8,"&gt;=0.6")&gt;=3,"Sí","No")</f>
        <v>No</v>
      </c>
      <c r="H8" s="7" t="str">
        <f aca="false">IF(E8="","Sin evaluar",IF(E8&gt;=0.7,"Fuerte",IF(E8&gt;=0.4,"Medio","Débil")))</f>
        <v>Sin evaluar</v>
      </c>
      <c r="I8" s="8" t="n">
        <v>46265</v>
      </c>
      <c r="J8" s="7" t="s">
        <v>19</v>
      </c>
    </row>
    <row r="9" customFormat="false" ht="34.5" hidden="false" customHeight="true" outlineLevel="0" collapsed="false">
      <c r="A9" s="5" t="s">
        <v>20</v>
      </c>
      <c r="B9" s="6" t="n">
        <v>0.6</v>
      </c>
      <c r="C9" s="6" t="n">
        <v>0.89</v>
      </c>
      <c r="D9" s="6" t="n">
        <v>0.73</v>
      </c>
      <c r="E9" s="6" t="n">
        <f aca="false">IFERROR(AVERAGE(B9:D9),"")</f>
        <v>0.74</v>
      </c>
      <c r="F9" s="6" t="n">
        <v>0.7</v>
      </c>
      <c r="G9" s="7" t="str">
        <f aca="false">IF(COUNTIF(B9:D9,"&gt;=0.6")&gt;=3,"Sí","No")</f>
        <v>Sí</v>
      </c>
      <c r="H9" s="7" t="str">
        <f aca="false">IF(E9="","Sin evaluar",IF(E9&gt;=0.7,"Fuerte",IF(E9&gt;=0.4,"Medio","Débil")))</f>
        <v>Fuerte</v>
      </c>
      <c r="I9" s="8" t="n">
        <v>46265</v>
      </c>
      <c r="J9" s="7" t="s">
        <v>21</v>
      </c>
    </row>
    <row r="10" customFormat="false" ht="15" hidden="false" customHeight="true" outlineLevel="0" collapsed="false">
      <c r="A10" s="5" t="s">
        <v>22</v>
      </c>
      <c r="B10" s="6"/>
      <c r="C10" s="6"/>
      <c r="D10" s="6"/>
      <c r="E10" s="6" t="str">
        <f aca="false">IFERROR(AVERAGE(B10:D10),"")</f>
        <v/>
      </c>
      <c r="F10" s="6" t="n">
        <v>0.7</v>
      </c>
      <c r="G10" s="7" t="str">
        <f aca="false">IF(COUNTIF(B10:D10,"&gt;=0.6")&gt;=3,"Sí","No")</f>
        <v>No</v>
      </c>
      <c r="H10" s="7" t="str">
        <f aca="false">IF(E10="","Sin evaluar",IF(E10&gt;=0.7,"Fuerte",IF(E10&gt;=0.4,"Medio","Débil")))</f>
        <v>Sin evaluar</v>
      </c>
      <c r="I10" s="8" t="n">
        <v>46265</v>
      </c>
      <c r="J10" s="7" t="s">
        <v>23</v>
      </c>
    </row>
    <row r="11" customFormat="false" ht="15" hidden="false" customHeight="true" outlineLevel="0" collapsed="false">
      <c r="A11" s="5" t="s">
        <v>24</v>
      </c>
      <c r="B11" s="6"/>
      <c r="C11" s="6"/>
      <c r="D11" s="6"/>
      <c r="E11" s="6" t="str">
        <f aca="false">IFERROR(AVERAGE(B11:D11),"")</f>
        <v/>
      </c>
      <c r="F11" s="6" t="n">
        <v>0.7</v>
      </c>
      <c r="G11" s="7" t="str">
        <f aca="false">IF(COUNTIF(B11:D11,"&gt;=0.6")&gt;=3,"Sí","No")</f>
        <v>No</v>
      </c>
      <c r="H11" s="7" t="str">
        <f aca="false">IF(E11="","Sin evaluar",IF(E11&gt;=0.7,"Fuerte",IF(E11&gt;=0.4,"Medio","Débil")))</f>
        <v>Sin evaluar</v>
      </c>
      <c r="I11" s="8" t="n">
        <v>46265</v>
      </c>
      <c r="J11" s="7" t="s">
        <v>19</v>
      </c>
    </row>
    <row r="12" customFormat="false" ht="15" hidden="false" customHeight="true" outlineLevel="0" collapsed="false">
      <c r="A12" s="5" t="s">
        <v>25</v>
      </c>
      <c r="B12" s="6"/>
      <c r="C12" s="6"/>
      <c r="D12" s="6" t="n">
        <v>0.78</v>
      </c>
      <c r="E12" s="6" t="n">
        <f aca="false">IFERROR(AVERAGE(B12:D12),"")</f>
        <v>0.78</v>
      </c>
      <c r="F12" s="6" t="n">
        <v>0.7</v>
      </c>
      <c r="G12" s="7" t="str">
        <f aca="false">IF(COUNTIF(B12:D12,"&gt;=0.6")&gt;=3,"Sí","No")</f>
        <v>No</v>
      </c>
      <c r="H12" s="7" t="str">
        <f aca="false">IF(E12="","Sin evaluar",IF(E12&gt;=0.7,"Fuerte",IF(E12&gt;=0.4,"Medio","Débil")))</f>
        <v>Fuerte</v>
      </c>
      <c r="I12" s="8" t="n">
        <v>46265</v>
      </c>
      <c r="J12" s="7" t="s">
        <v>26</v>
      </c>
    </row>
    <row r="13" customFormat="false" ht="15" hidden="false" customHeight="true" outlineLevel="0" collapsed="false">
      <c r="A13" s="5" t="s">
        <v>27</v>
      </c>
      <c r="B13" s="6"/>
      <c r="C13" s="6"/>
      <c r="D13" s="6"/>
      <c r="E13" s="6" t="str">
        <f aca="false">IFERROR(AVERAGE(B13:D13),"")</f>
        <v/>
      </c>
      <c r="F13" s="6" t="n">
        <v>0.7</v>
      </c>
      <c r="G13" s="7" t="str">
        <f aca="false">IF(COUNTIF(B13:D13,"&gt;=0.6")&gt;=3,"Sí","No")</f>
        <v>No</v>
      </c>
      <c r="H13" s="7" t="str">
        <f aca="false">IF(E13="","Sin evaluar",IF(E13&gt;=0.7,"Fuerte",IF(E13&gt;=0.4,"Medio","Débil")))</f>
        <v>Sin evaluar</v>
      </c>
      <c r="I13" s="8" t="n">
        <v>46265</v>
      </c>
      <c r="J13" s="7" t="s">
        <v>19</v>
      </c>
    </row>
    <row r="14" customFormat="false" ht="15" hidden="false" customHeight="true" outlineLevel="0" collapsed="false">
      <c r="A14" s="5" t="s">
        <v>28</v>
      </c>
      <c r="B14" s="6"/>
      <c r="C14" s="6"/>
      <c r="D14" s="6"/>
      <c r="E14" s="6" t="str">
        <f aca="false">IFERROR(AVERAGE(B14:D14),"")</f>
        <v/>
      </c>
      <c r="F14" s="6" t="n">
        <v>0.7</v>
      </c>
      <c r="G14" s="7" t="str">
        <f aca="false">IF(COUNTIF(B14:D14,"&gt;=0.6")&gt;=3,"Sí","No")</f>
        <v>No</v>
      </c>
      <c r="H14" s="7" t="str">
        <f aca="false">IF(E14="","Sin evaluar",IF(E14&gt;=0.7,"Fuerte",IF(E14&gt;=0.4,"Medio","Débil")))</f>
        <v>Sin evaluar</v>
      </c>
      <c r="I14" s="8" t="n">
        <v>46265</v>
      </c>
      <c r="J14" s="7" t="s">
        <v>19</v>
      </c>
    </row>
    <row r="15" customFormat="false" ht="34.5" hidden="false" customHeight="true" outlineLevel="0" collapsed="false">
      <c r="A15" s="5" t="s">
        <v>29</v>
      </c>
      <c r="B15" s="6" t="n">
        <v>0.65</v>
      </c>
      <c r="C15" s="6" t="n">
        <v>0.81</v>
      </c>
      <c r="D15" s="6"/>
      <c r="E15" s="6" t="n">
        <f aca="false">IFERROR(AVERAGE(B15:D15),"")</f>
        <v>0.73</v>
      </c>
      <c r="F15" s="6" t="n">
        <v>0.7</v>
      </c>
      <c r="G15" s="7" t="str">
        <f aca="false">IF(COUNTIF(B15:D15,"&gt;=0.6")&gt;=3,"Sí","No")</f>
        <v>No</v>
      </c>
      <c r="H15" s="7" t="str">
        <f aca="false">IF(E15="","Sin evaluar",IF(E15&gt;=0.7,"Fuerte",IF(E15&gt;=0.4,"Medio","Débil")))</f>
        <v>Fuerte</v>
      </c>
      <c r="I15" s="8" t="n">
        <v>46265</v>
      </c>
      <c r="J15" s="7" t="s">
        <v>30</v>
      </c>
    </row>
    <row r="16" customFormat="false" ht="15" hidden="false" customHeight="true" outlineLevel="0" collapsed="false">
      <c r="A16" s="5" t="s">
        <v>31</v>
      </c>
      <c r="B16" s="6" t="n">
        <v>0.78</v>
      </c>
      <c r="C16" s="6"/>
      <c r="D16" s="6"/>
      <c r="E16" s="6" t="n">
        <f aca="false">IFERROR(AVERAGE(B16:D16),"")</f>
        <v>0.78</v>
      </c>
      <c r="F16" s="6" t="n">
        <v>0.7</v>
      </c>
      <c r="G16" s="7" t="str">
        <f aca="false">IF(COUNTIF(B16:D16,"&gt;=0.6")&gt;=3,"Sí","No")</f>
        <v>No</v>
      </c>
      <c r="H16" s="7" t="str">
        <f aca="false">IF(E16="","Sin evaluar",IF(E16&gt;=0.7,"Fuerte",IF(E16&gt;=0.4,"Medio","Débil")))</f>
        <v>Fuerte</v>
      </c>
      <c r="I16" s="8" t="n">
        <v>46265</v>
      </c>
      <c r="J16" s="7" t="s">
        <v>32</v>
      </c>
    </row>
    <row r="17" customFormat="false" ht="15" hidden="false" customHeight="true" outlineLevel="0" collapsed="false">
      <c r="A17" s="5" t="s">
        <v>33</v>
      </c>
      <c r="B17" s="6"/>
      <c r="C17" s="6"/>
      <c r="D17" s="6"/>
      <c r="E17" s="6" t="str">
        <f aca="false">IFERROR(AVERAGE(B17:D17),"")</f>
        <v/>
      </c>
      <c r="F17" s="6" t="n">
        <v>0.7</v>
      </c>
      <c r="G17" s="7" t="str">
        <f aca="false">IF(COUNTIF(B17:D17,"&gt;=0.6")&gt;=3,"Sí","No")</f>
        <v>No</v>
      </c>
      <c r="H17" s="7" t="str">
        <f aca="false">IF(E17="","Sin evaluar",IF(E17&gt;=0.7,"Fuerte",IF(E17&gt;=0.4,"Medio","Débil")))</f>
        <v>Sin evaluar</v>
      </c>
      <c r="I17" s="8" t="n">
        <v>46265</v>
      </c>
      <c r="J17" s="7" t="s">
        <v>19</v>
      </c>
    </row>
    <row r="18" customFormat="false" ht="15" hidden="false" customHeight="true" outlineLevel="0" collapsed="false">
      <c r="A18" s="5" t="s">
        <v>34</v>
      </c>
      <c r="B18" s="6"/>
      <c r="C18" s="6"/>
      <c r="D18" s="6"/>
      <c r="E18" s="6" t="str">
        <f aca="false">IFERROR(AVERAGE(B18:D18),"")</f>
        <v/>
      </c>
      <c r="F18" s="6" t="n">
        <v>0.7</v>
      </c>
      <c r="G18" s="7" t="str">
        <f aca="false">IF(COUNTIF(B18:D18,"&gt;=0.6")&gt;=3,"Sí","No")</f>
        <v>No</v>
      </c>
      <c r="H18" s="7" t="str">
        <f aca="false">IF(E18="","Sin evaluar",IF(E18&gt;=0.7,"Fuerte",IF(E18&gt;=0.4,"Medio","Débil")))</f>
        <v>Sin evaluar</v>
      </c>
      <c r="I18" s="8" t="n">
        <v>46265</v>
      </c>
      <c r="J18" s="7" t="s">
        <v>19</v>
      </c>
    </row>
    <row r="19" customFormat="false" ht="15" hidden="false" customHeight="true" outlineLevel="0" collapsed="false">
      <c r="A19" s="5" t="s">
        <v>35</v>
      </c>
      <c r="B19" s="6"/>
      <c r="C19" s="6"/>
      <c r="D19" s="6"/>
      <c r="E19" s="6" t="str">
        <f aca="false">IFERROR(AVERAGE(B19:D19),"")</f>
        <v/>
      </c>
      <c r="F19" s="6" t="n">
        <v>0.7</v>
      </c>
      <c r="G19" s="7" t="str">
        <f aca="false">IF(COUNTIF(B19:D19,"&gt;=0.6")&gt;=3,"Sí","No")</f>
        <v>No</v>
      </c>
      <c r="H19" s="7" t="str">
        <f aca="false">IF(E19="","Sin evaluar",IF(E19&gt;=0.7,"Fuerte",IF(E19&gt;=0.4,"Medio","Débil")))</f>
        <v>Sin evaluar</v>
      </c>
      <c r="I19" s="8" t="n">
        <v>46265</v>
      </c>
      <c r="J19" s="7" t="s">
        <v>19</v>
      </c>
    </row>
    <row r="20" customFormat="false" ht="15" hidden="false" customHeight="true" outlineLevel="0" collapsed="false">
      <c r="A20" s="5" t="s">
        <v>36</v>
      </c>
      <c r="B20" s="6"/>
      <c r="C20" s="6"/>
      <c r="D20" s="6"/>
      <c r="E20" s="6" t="str">
        <f aca="false">IFERROR(AVERAGE(B20:D20),"")</f>
        <v/>
      </c>
      <c r="F20" s="6" t="n">
        <v>0.7</v>
      </c>
      <c r="G20" s="7" t="str">
        <f aca="false">IF(COUNTIF(B20:D20,"&gt;=0.6")&gt;=3,"Sí","No")</f>
        <v>No</v>
      </c>
      <c r="H20" s="7" t="str">
        <f aca="false">IF(E20="","Sin evaluar",IF(E20&gt;=0.7,"Fuerte",IF(E20&gt;=0.4,"Medio","Débil")))</f>
        <v>Sin evaluar</v>
      </c>
      <c r="I20" s="8" t="n">
        <v>46265</v>
      </c>
      <c r="J20" s="7" t="s">
        <v>19</v>
      </c>
    </row>
    <row r="21" customFormat="false" ht="15" hidden="false" customHeight="true" outlineLevel="0" collapsed="false">
      <c r="A21" s="5" t="s">
        <v>37</v>
      </c>
      <c r="B21" s="6"/>
      <c r="C21" s="6"/>
      <c r="D21" s="6"/>
      <c r="E21" s="6" t="str">
        <f aca="false">IFERROR(AVERAGE(B21:D21),"")</f>
        <v/>
      </c>
      <c r="F21" s="6" t="n">
        <v>0.7</v>
      </c>
      <c r="G21" s="7" t="str">
        <f aca="false">IF(COUNTIF(B21:D21,"&gt;=0.6")&gt;=3,"Sí","No")</f>
        <v>No</v>
      </c>
      <c r="H21" s="7" t="str">
        <f aca="false">IF(E21="","Sin evaluar",IF(E21&gt;=0.7,"Fuerte",IF(E21&gt;=0.4,"Medio","Débil")))</f>
        <v>Sin evaluar</v>
      </c>
      <c r="I21" s="8" t="n">
        <v>46265</v>
      </c>
      <c r="J21" s="7" t="s">
        <v>19</v>
      </c>
    </row>
    <row r="22" customFormat="false" ht="15" hidden="false" customHeight="true" outlineLevel="0" collapsed="false">
      <c r="A22" s="5" t="s">
        <v>38</v>
      </c>
      <c r="B22" s="6"/>
      <c r="C22" s="6"/>
      <c r="D22" s="6"/>
      <c r="E22" s="6" t="str">
        <f aca="false">IFERROR(AVERAGE(B22:D22),"")</f>
        <v/>
      </c>
      <c r="F22" s="6" t="n">
        <v>0.7</v>
      </c>
      <c r="G22" s="7" t="str">
        <f aca="false">IF(COUNTIF(B22:D22,"&gt;=0.6")&gt;=3,"Sí","No")</f>
        <v>No</v>
      </c>
      <c r="H22" s="7" t="str">
        <f aca="false">IF(E22="","Sin evaluar",IF(E22&gt;=0.7,"Fuerte",IF(E22&gt;=0.4,"Medio","Débil")))</f>
        <v>Sin evaluar</v>
      </c>
      <c r="I22" s="8" t="n">
        <v>46265</v>
      </c>
      <c r="J22" s="7" t="s">
        <v>19</v>
      </c>
    </row>
    <row r="23" customFormat="false" ht="15" hidden="false" customHeight="true" outlineLevel="0" collapsed="false">
      <c r="A23" s="5" t="s">
        <v>39</v>
      </c>
      <c r="B23" s="6"/>
      <c r="C23" s="6"/>
      <c r="D23" s="6"/>
      <c r="E23" s="6" t="str">
        <f aca="false">IFERROR(AVERAGE(B23:D23),"")</f>
        <v/>
      </c>
      <c r="F23" s="6" t="n">
        <v>0.7</v>
      </c>
      <c r="G23" s="7" t="str">
        <f aca="false">IF(COUNTIF(B23:D23,"&gt;=0.6")&gt;=3,"Sí","No")</f>
        <v>No</v>
      </c>
      <c r="H23" s="7" t="str">
        <f aca="false">IF(E23="","Sin evaluar",IF(E23&gt;=0.7,"Fuerte",IF(E23&gt;=0.4,"Medio","Débil")))</f>
        <v>Sin evaluar</v>
      </c>
      <c r="I23" s="8" t="n">
        <v>46265</v>
      </c>
      <c r="J23" s="7" t="s">
        <v>19</v>
      </c>
    </row>
    <row r="24" customFormat="false" ht="15" hidden="false" customHeight="true" outlineLevel="0" collapsed="false">
      <c r="A24" s="5" t="s">
        <v>40</v>
      </c>
      <c r="B24" s="6"/>
      <c r="C24" s="6"/>
      <c r="D24" s="6"/>
      <c r="E24" s="6" t="str">
        <f aca="false">IFERROR(AVERAGE(B24:D24),"")</f>
        <v/>
      </c>
      <c r="F24" s="6" t="n">
        <v>0.7</v>
      </c>
      <c r="G24" s="7" t="str">
        <f aca="false">IF(COUNTIF(B24:D24,"&gt;=0.6")&gt;=3,"Sí","No")</f>
        <v>No</v>
      </c>
      <c r="H24" s="7" t="str">
        <f aca="false">IF(E24="","Sin evaluar",IF(E24&gt;=0.7,"Fuerte",IF(E24&gt;=0.4,"Medio","Débil")))</f>
        <v>Sin evaluar</v>
      </c>
      <c r="I24" s="8" t="n">
        <v>46265</v>
      </c>
      <c r="J24" s="7" t="s">
        <v>19</v>
      </c>
    </row>
    <row r="25" customFormat="false" ht="15" hidden="false" customHeight="true" outlineLevel="0" collapsed="false">
      <c r="A25" s="5" t="s">
        <v>41</v>
      </c>
      <c r="B25" s="6"/>
      <c r="C25" s="6"/>
      <c r="D25" s="6"/>
      <c r="E25" s="6" t="str">
        <f aca="false">IFERROR(AVERAGE(B25:D25),"")</f>
        <v/>
      </c>
      <c r="F25" s="6" t="n">
        <v>0.7</v>
      </c>
      <c r="G25" s="7" t="str">
        <f aca="false">IF(COUNTIF(B25:D25,"&gt;=0.6")&gt;=3,"Sí","No")</f>
        <v>No</v>
      </c>
      <c r="H25" s="7" t="str">
        <f aca="false">IF(E25="","Sin evaluar",IF(E25&gt;=0.7,"Fuerte",IF(E25&gt;=0.4,"Medio","Débil")))</f>
        <v>Sin evaluar</v>
      </c>
      <c r="I25" s="8" t="n">
        <v>46265</v>
      </c>
      <c r="J25" s="7" t="s">
        <v>19</v>
      </c>
    </row>
    <row r="26" customFormat="false" ht="15" hidden="false" customHeight="true" outlineLevel="0" collapsed="false">
      <c r="A26" s="5" t="s">
        <v>42</v>
      </c>
      <c r="B26" s="6"/>
      <c r="C26" s="6"/>
      <c r="D26" s="6"/>
      <c r="E26" s="6" t="str">
        <f aca="false">IFERROR(AVERAGE(B26:D26),"")</f>
        <v/>
      </c>
      <c r="F26" s="6" t="n">
        <v>0.7</v>
      </c>
      <c r="G26" s="7" t="str">
        <f aca="false">IF(COUNTIF(B26:D26,"&gt;=0.6")&gt;=3,"Sí","No")</f>
        <v>No</v>
      </c>
      <c r="H26" s="7" t="str">
        <f aca="false">IF(E26="","Sin evaluar",IF(E26&gt;=0.7,"Fuerte",IF(E26&gt;=0.4,"Medio","Débil")))</f>
        <v>Sin evaluar</v>
      </c>
      <c r="I26" s="8" t="n">
        <v>46265</v>
      </c>
      <c r="J26" s="7" t="s">
        <v>19</v>
      </c>
    </row>
    <row r="27" customFormat="false" ht="15" hidden="false" customHeight="true" outlineLevel="0" collapsed="false">
      <c r="A27" s="5" t="s">
        <v>43</v>
      </c>
      <c r="B27" s="6"/>
      <c r="C27" s="6"/>
      <c r="D27" s="6"/>
      <c r="E27" s="6" t="str">
        <f aca="false">IFERROR(AVERAGE(B27:D27),"")</f>
        <v/>
      </c>
      <c r="F27" s="6" t="n">
        <v>0.7</v>
      </c>
      <c r="G27" s="7" t="str">
        <f aca="false">IF(COUNTIF(B27:D27,"&gt;=0.6")&gt;=3,"Sí","No")</f>
        <v>No</v>
      </c>
      <c r="H27" s="7" t="str">
        <f aca="false">IF(E27="","Sin evaluar",IF(E27&gt;=0.7,"Fuerte",IF(E27&gt;=0.4,"Medio","Débil")))</f>
        <v>Sin evaluar</v>
      </c>
      <c r="I27" s="8" t="n">
        <v>46265</v>
      </c>
      <c r="J27" s="7" t="s">
        <v>19</v>
      </c>
    </row>
    <row r="28" customFormat="false" ht="15" hidden="false" customHeight="true" outlineLevel="0" collapsed="false">
      <c r="A28" s="5" t="s">
        <v>44</v>
      </c>
      <c r="B28" s="6"/>
      <c r="C28" s="6"/>
      <c r="D28" s="6"/>
      <c r="E28" s="6" t="str">
        <f aca="false">IFERROR(AVERAGE(B28:D28),"")</f>
        <v/>
      </c>
      <c r="F28" s="6" t="n">
        <v>0.7</v>
      </c>
      <c r="G28" s="7" t="str">
        <f aca="false">IF(COUNTIF(B28:D28,"&gt;=0.6")&gt;=3,"Sí","No")</f>
        <v>No</v>
      </c>
      <c r="H28" s="7" t="str">
        <f aca="false">IF(E28="","Sin evaluar",IF(E28&gt;=0.7,"Fuerte",IF(E28&gt;=0.4,"Medio","Débil")))</f>
        <v>Sin evaluar</v>
      </c>
      <c r="I28" s="8" t="n">
        <v>46265</v>
      </c>
      <c r="J28" s="7" t="s">
        <v>19</v>
      </c>
    </row>
    <row r="29" customFormat="false" ht="23.25" hidden="false" customHeight="true" outlineLevel="0" collapsed="false">
      <c r="A29" s="5" t="s">
        <v>45</v>
      </c>
      <c r="B29" s="6"/>
      <c r="C29" s="6"/>
      <c r="D29" s="6"/>
      <c r="E29" s="6" t="str">
        <f aca="false">IFERROR(AVERAGE(B29:D29),"")</f>
        <v/>
      </c>
      <c r="F29" s="6" t="n">
        <v>0.7</v>
      </c>
      <c r="G29" s="7" t="str">
        <f aca="false">IF(COUNTIF(B29:D29,"&gt;=0.6")&gt;=3,"Sí","No")</f>
        <v>No</v>
      </c>
      <c r="H29" s="7" t="str">
        <f aca="false">IF(E29="","Sin evaluar",IF(E29&gt;=0.7,"Fuerte",IF(E29&gt;=0.4,"Medio","Débil")))</f>
        <v>Sin evaluar</v>
      </c>
      <c r="I29" s="8" t="n">
        <v>46265</v>
      </c>
      <c r="J29" s="7" t="s">
        <v>46</v>
      </c>
    </row>
    <row r="30" customFormat="false" ht="15" hidden="false" customHeight="true" outlineLevel="0" collapsed="false">
      <c r="A30" s="5" t="s">
        <v>47</v>
      </c>
      <c r="B30" s="6"/>
      <c r="C30" s="6"/>
      <c r="D30" s="6"/>
      <c r="E30" s="6" t="str">
        <f aca="false">IFERROR(AVERAGE(B30:D30),"")</f>
        <v/>
      </c>
      <c r="F30" s="6" t="n">
        <v>0.7</v>
      </c>
      <c r="G30" s="7" t="str">
        <f aca="false">IF(COUNTIF(B30:D30,"&gt;=0.6")&gt;=3,"Sí","No")</f>
        <v>No</v>
      </c>
      <c r="H30" s="7" t="str">
        <f aca="false">IF(E30="","Sin evaluar",IF(E30&gt;=0.7,"Fuerte",IF(E30&gt;=0.4,"Medio","Débil")))</f>
        <v>Sin evaluar</v>
      </c>
      <c r="I30" s="8" t="n">
        <v>46265</v>
      </c>
      <c r="J30" s="7" t="s">
        <v>48</v>
      </c>
    </row>
    <row r="31" customFormat="false" ht="15" hidden="false" customHeight="true" outlineLevel="0" collapsed="false">
      <c r="A31" s="5" t="s">
        <v>49</v>
      </c>
      <c r="B31" s="6"/>
      <c r="C31" s="6"/>
      <c r="D31" s="6"/>
      <c r="E31" s="6" t="str">
        <f aca="false">IFERROR(AVERAGE(B31:D31),"")</f>
        <v/>
      </c>
      <c r="F31" s="6" t="n">
        <v>0.7</v>
      </c>
      <c r="G31" s="7" t="str">
        <f aca="false">IF(COUNTIF(B31:D31,"&gt;=0.6")&gt;=3,"Sí","No")</f>
        <v>No</v>
      </c>
      <c r="H31" s="7" t="str">
        <f aca="false">IF(E31="","Sin evaluar",IF(E31&gt;=0.7,"Fuerte",IF(E31&gt;=0.4,"Medio","Débil")))</f>
        <v>Sin evaluar</v>
      </c>
      <c r="I31" s="8" t="n">
        <v>46265</v>
      </c>
      <c r="J31" s="7" t="s">
        <v>19</v>
      </c>
    </row>
    <row r="32" customFormat="false" ht="15" hidden="false" customHeight="true" outlineLevel="0" collapsed="false">
      <c r="A32" s="5" t="s">
        <v>50</v>
      </c>
      <c r="B32" s="6"/>
      <c r="C32" s="6"/>
      <c r="D32" s="6"/>
      <c r="E32" s="6" t="str">
        <f aca="false">IFERROR(AVERAGE(B32:D32),"")</f>
        <v/>
      </c>
      <c r="F32" s="6" t="n">
        <v>0.7</v>
      </c>
      <c r="G32" s="7" t="str">
        <f aca="false">IF(COUNTIF(B32:D32,"&gt;=0.6")&gt;=3,"Sí","No")</f>
        <v>No</v>
      </c>
      <c r="H32" s="7" t="str">
        <f aca="false">IF(E32="","Sin evaluar",IF(E32&gt;=0.7,"Fuerte",IF(E32&gt;=0.4,"Medio","Débil")))</f>
        <v>Sin evaluar</v>
      </c>
      <c r="I32" s="8" t="n">
        <v>46265</v>
      </c>
      <c r="J32" s="7" t="s">
        <v>19</v>
      </c>
    </row>
    <row r="33" customFormat="false" ht="15" hidden="false" customHeight="true" outlineLevel="0" collapsed="false">
      <c r="A33" s="5" t="s">
        <v>51</v>
      </c>
      <c r="B33" s="6"/>
      <c r="C33" s="6"/>
      <c r="D33" s="6"/>
      <c r="E33" s="6" t="str">
        <f aca="false">IFERROR(AVERAGE(B33:D33),"")</f>
        <v/>
      </c>
      <c r="F33" s="6" t="n">
        <v>0.7</v>
      </c>
      <c r="G33" s="7" t="str">
        <f aca="false">IF(COUNTIF(B33:D33,"&gt;=0.6")&gt;=3,"Sí","No")</f>
        <v>No</v>
      </c>
      <c r="H33" s="7" t="str">
        <f aca="false">IF(E33="","Sin evaluar",IF(E33&gt;=0.7,"Fuerte",IF(E33&gt;=0.4,"Medio","Débil")))</f>
        <v>Sin evaluar</v>
      </c>
      <c r="I33" s="8" t="n">
        <v>46265</v>
      </c>
      <c r="J33" s="7" t="s">
        <v>19</v>
      </c>
    </row>
    <row r="34" customFormat="false" ht="15" hidden="false" customHeight="true" outlineLevel="0" collapsed="false">
      <c r="A34" s="5" t="s">
        <v>52</v>
      </c>
      <c r="B34" s="6"/>
      <c r="C34" s="6"/>
      <c r="D34" s="6"/>
      <c r="E34" s="6" t="str">
        <f aca="false">IFERROR(AVERAGE(B34:D34),"")</f>
        <v/>
      </c>
      <c r="F34" s="6" t="n">
        <v>0.7</v>
      </c>
      <c r="G34" s="7" t="str">
        <f aca="false">IF(COUNTIF(B34:D34,"&gt;=0.6")&gt;=3,"Sí","No")</f>
        <v>No</v>
      </c>
      <c r="H34" s="7" t="str">
        <f aca="false">IF(E34="","Sin evaluar",IF(E34&gt;=0.7,"Fuerte",IF(E34&gt;=0.4,"Medio","Débil")))</f>
        <v>Sin evaluar</v>
      </c>
      <c r="I34" s="8" t="n">
        <v>46265</v>
      </c>
      <c r="J34" s="7" t="s">
        <v>19</v>
      </c>
    </row>
    <row r="35" customFormat="false" ht="15" hidden="false" customHeight="true" outlineLevel="0" collapsed="false">
      <c r="A35" s="5" t="s">
        <v>53</v>
      </c>
      <c r="B35" s="6"/>
      <c r="C35" s="6"/>
      <c r="D35" s="6"/>
      <c r="E35" s="6" t="str">
        <f aca="false">IFERROR(AVERAGE(B35:D35),"")</f>
        <v/>
      </c>
      <c r="F35" s="6" t="n">
        <v>0.7</v>
      </c>
      <c r="G35" s="7" t="str">
        <f aca="false">IF(COUNTIF(B35:D35,"&gt;=0.6")&gt;=3,"Sí","No")</f>
        <v>No</v>
      </c>
      <c r="H35" s="7" t="str">
        <f aca="false">IF(E35="","Sin evaluar",IF(E35&gt;=0.7,"Fuerte",IF(E35&gt;=0.4,"Medio","Débil")))</f>
        <v>Sin evaluar</v>
      </c>
      <c r="I35" s="8" t="n">
        <v>46265</v>
      </c>
      <c r="J35" s="7" t="s">
        <v>19</v>
      </c>
    </row>
    <row r="36" customFormat="false" ht="15" hidden="false" customHeight="true" outlineLevel="0" collapsed="false">
      <c r="A36" s="5" t="s">
        <v>54</v>
      </c>
      <c r="B36" s="6"/>
      <c r="C36" s="6"/>
      <c r="D36" s="6"/>
      <c r="E36" s="6" t="str">
        <f aca="false">IFERROR(AVERAGE(B36:D36),"")</f>
        <v/>
      </c>
      <c r="F36" s="6" t="n">
        <v>0.7</v>
      </c>
      <c r="G36" s="7" t="str">
        <f aca="false">IF(COUNTIF(B36:D36,"&gt;=0.6")&gt;=3,"Sí","No")</f>
        <v>No</v>
      </c>
      <c r="H36" s="7" t="str">
        <f aca="false">IF(E36="","Sin evaluar",IF(E36&gt;=0.7,"Fuerte",IF(E36&gt;=0.4,"Medio","Débil")))</f>
        <v>Sin evaluar</v>
      </c>
      <c r="I36" s="8" t="n">
        <v>46265</v>
      </c>
      <c r="J36" s="7" t="s">
        <v>19</v>
      </c>
    </row>
    <row r="37" customFormat="false" ht="15" hidden="false" customHeight="true" outlineLevel="0" collapsed="false">
      <c r="A37" s="5" t="s">
        <v>55</v>
      </c>
      <c r="B37" s="6"/>
      <c r="C37" s="6"/>
      <c r="D37" s="6"/>
      <c r="E37" s="6" t="str">
        <f aca="false">IFERROR(AVERAGE(B37:D37),"")</f>
        <v/>
      </c>
      <c r="F37" s="6" t="n">
        <v>0.7</v>
      </c>
      <c r="G37" s="7" t="str">
        <f aca="false">IF(COUNTIF(B37:D37,"&gt;=0.6")&gt;=3,"Sí","No")</f>
        <v>No</v>
      </c>
      <c r="H37" s="7" t="str">
        <f aca="false">IF(E37="","Sin evaluar",IF(E37&gt;=0.7,"Fuerte",IF(E37&gt;=0.4,"Medio","Débil")))</f>
        <v>Sin evaluar</v>
      </c>
      <c r="I37" s="8" t="n">
        <v>46265</v>
      </c>
      <c r="J37" s="7" t="s">
        <v>19</v>
      </c>
    </row>
    <row r="38" customFormat="false" ht="15" hidden="false" customHeight="true" outlineLevel="0" collapsed="false">
      <c r="A38" s="5" t="s">
        <v>56</v>
      </c>
      <c r="B38" s="6"/>
      <c r="C38" s="6"/>
      <c r="D38" s="6"/>
      <c r="E38" s="6" t="str">
        <f aca="false">IFERROR(AVERAGE(B38:D38),"")</f>
        <v/>
      </c>
      <c r="F38" s="6" t="n">
        <v>0.7</v>
      </c>
      <c r="G38" s="7" t="str">
        <f aca="false">IF(COUNTIF(B38:D38,"&gt;=0.6")&gt;=3,"Sí","No")</f>
        <v>No</v>
      </c>
      <c r="H38" s="7" t="str">
        <f aca="false">IF(E38="","Sin evaluar",IF(E38&gt;=0.7,"Fuerte",IF(E38&gt;=0.4,"Medio","Débil")))</f>
        <v>Sin evaluar</v>
      </c>
      <c r="I38" s="8" t="n">
        <v>46265</v>
      </c>
      <c r="J38" s="7" t="s">
        <v>19</v>
      </c>
    </row>
    <row r="39" customFormat="false" ht="15" hidden="false" customHeight="true" outlineLevel="0" collapsed="false">
      <c r="A39" s="5" t="s">
        <v>57</v>
      </c>
      <c r="B39" s="6"/>
      <c r="C39" s="6"/>
      <c r="D39" s="6"/>
      <c r="E39" s="6" t="str">
        <f aca="false">IFERROR(AVERAGE(B39:D39),"")</f>
        <v/>
      </c>
      <c r="F39" s="6" t="n">
        <v>0.7</v>
      </c>
      <c r="G39" s="7" t="str">
        <f aca="false">IF(COUNTIF(B39:D39,"&gt;=0.6")&gt;=3,"Sí","No")</f>
        <v>No</v>
      </c>
      <c r="H39" s="7" t="str">
        <f aca="false">IF(E39="","Sin evaluar",IF(E39&gt;=0.7,"Fuerte",IF(E39&gt;=0.4,"Medio","Débil")))</f>
        <v>Sin evaluar</v>
      </c>
      <c r="I39" s="8" t="n">
        <v>46265</v>
      </c>
      <c r="J39" s="7" t="s">
        <v>19</v>
      </c>
    </row>
    <row r="40" customFormat="false" ht="15" hidden="false" customHeight="true" outlineLevel="0" collapsed="false">
      <c r="A40" s="5" t="s">
        <v>58</v>
      </c>
      <c r="B40" s="6"/>
      <c r="C40" s="6"/>
      <c r="D40" s="6"/>
      <c r="E40" s="6" t="str">
        <f aca="false">IFERROR(AVERAGE(B40:D40),"")</f>
        <v/>
      </c>
      <c r="F40" s="6" t="n">
        <v>0.7</v>
      </c>
      <c r="G40" s="7" t="str">
        <f aca="false">IF(COUNTIF(B40:D40,"&gt;=0.6")&gt;=3,"Sí","No")</f>
        <v>No</v>
      </c>
      <c r="H40" s="7" t="str">
        <f aca="false">IF(E40="","Sin evaluar",IF(E40&gt;=0.7,"Fuerte",IF(E40&gt;=0.4,"Medio","Débil")))</f>
        <v>Sin evaluar</v>
      </c>
      <c r="I40" s="8" t="n">
        <v>46265</v>
      </c>
      <c r="J40" s="7" t="s">
        <v>19</v>
      </c>
    </row>
    <row r="41" customFormat="false" ht="15" hidden="false" customHeight="true" outlineLevel="0" collapsed="false">
      <c r="A41" s="5" t="s">
        <v>59</v>
      </c>
      <c r="B41" s="6"/>
      <c r="C41" s="6"/>
      <c r="D41" s="6"/>
      <c r="E41" s="6" t="str">
        <f aca="false">IFERROR(AVERAGE(B41:D41),"")</f>
        <v/>
      </c>
      <c r="F41" s="6" t="n">
        <v>0.7</v>
      </c>
      <c r="G41" s="7" t="str">
        <f aca="false">IF(COUNTIF(B41:D41,"&gt;=0.6")&gt;=3,"Sí","No")</f>
        <v>No</v>
      </c>
      <c r="H41" s="7" t="str">
        <f aca="false">IF(E41="","Sin evaluar",IF(E41&gt;=0.7,"Fuerte",IF(E41&gt;=0.4,"Medio","Débil")))</f>
        <v>Sin evaluar</v>
      </c>
      <c r="I41" s="8" t="n">
        <v>46265</v>
      </c>
      <c r="J41" s="7" t="s">
        <v>19</v>
      </c>
    </row>
    <row r="42" customFormat="false" ht="15" hidden="false" customHeight="true" outlineLevel="0" collapsed="false">
      <c r="A42" s="5" t="s">
        <v>60</v>
      </c>
      <c r="B42" s="6"/>
      <c r="C42" s="6"/>
      <c r="D42" s="6"/>
      <c r="E42" s="6" t="str">
        <f aca="false">IFERROR(AVERAGE(B42:D42),"")</f>
        <v/>
      </c>
      <c r="F42" s="6" t="n">
        <v>0.7</v>
      </c>
      <c r="G42" s="7" t="str">
        <f aca="false">IF(COUNTIF(B42:D42,"&gt;=0.6")&gt;=3,"Sí","No")</f>
        <v>No</v>
      </c>
      <c r="H42" s="7" t="str">
        <f aca="false">IF(E42="","Sin evaluar",IF(E42&gt;=0.7,"Fuerte",IF(E42&gt;=0.4,"Medio","Débil")))</f>
        <v>Sin evaluar</v>
      </c>
      <c r="I42" s="8" t="n">
        <v>46265</v>
      </c>
      <c r="J42" s="7" t="s">
        <v>19</v>
      </c>
    </row>
  </sheetData>
  <mergeCells count="2">
    <mergeCell ref="A1:I1"/>
    <mergeCell ref="A2:I2"/>
  </mergeCells>
  <conditionalFormatting sqref="G5:G42">
    <cfRule type="cellIs" priority="2" operator="equal" aboveAverage="0" equalAverage="0" bottom="0" percent="0" rank="0" text="" dxfId="0">
      <formula>"Débil"</formula>
    </cfRule>
    <cfRule type="cellIs" priority="3" operator="equal" aboveAverage="0" equalAverage="0" bottom="0" percent="0" rank="0" text="" dxfId="1">
      <formula>"Medio"</formula>
    </cfRule>
    <cfRule type="cellIs" priority="4" operator="equal" aboveAverage="0" equalAverage="0" bottom="0" percent="0" rank="0" text="" dxfId="2">
      <formula>"Fuerte"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5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3" t="s">
        <v>62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10</v>
      </c>
      <c r="H4" s="4" t="s">
        <v>11</v>
      </c>
    </row>
    <row r="5" customFormat="false" ht="23.25" hidden="false" customHeight="true" outlineLevel="0" collapsed="false">
      <c r="A5" s="5" t="s">
        <v>69</v>
      </c>
      <c r="B5" s="6" t="n">
        <v>0.11</v>
      </c>
      <c r="C5" s="6"/>
      <c r="D5" s="6"/>
      <c r="E5" s="6" t="n">
        <f aca="false">IFERROR(AVERAGE(B5:D5),0)</f>
        <v>0.11</v>
      </c>
      <c r="F5" s="7" t="str">
        <f aca="false">IF(E5&gt;0,"Sí","No")</f>
        <v>Sí</v>
      </c>
      <c r="G5" s="8" t="n">
        <v>46265</v>
      </c>
      <c r="H5" s="7" t="s">
        <v>70</v>
      </c>
    </row>
    <row r="6" customFormat="false" ht="15" hidden="false" customHeight="true" outlineLevel="0" collapsed="false">
      <c r="A6" s="5" t="s">
        <v>71</v>
      </c>
      <c r="B6" s="6" t="n">
        <v>0.03</v>
      </c>
      <c r="C6" s="6"/>
      <c r="D6" s="6"/>
      <c r="E6" s="6" t="n">
        <f aca="false">IFERROR(AVERAGE(B6:D6),0)</f>
        <v>0.03</v>
      </c>
      <c r="F6" s="7" t="str">
        <f aca="false">IF(E6&gt;0,"Sí","No")</f>
        <v>Sí</v>
      </c>
      <c r="G6" s="8" t="n">
        <v>46265</v>
      </c>
      <c r="H6" s="7" t="s">
        <v>72</v>
      </c>
    </row>
    <row r="7" customFormat="false" ht="15" hidden="false" customHeight="true" outlineLevel="0" collapsed="false">
      <c r="A7" s="5" t="s">
        <v>73</v>
      </c>
      <c r="B7" s="6" t="n">
        <v>0</v>
      </c>
      <c r="C7" s="6"/>
      <c r="D7" s="6"/>
      <c r="E7" s="6" t="n">
        <f aca="false">IFERROR(AVERAGE(B7:D7),0)</f>
        <v>0</v>
      </c>
      <c r="F7" s="7" t="str">
        <f aca="false">IF(E7&gt;0,"Sí","No")</f>
        <v>No</v>
      </c>
      <c r="G7" s="8" t="n">
        <v>46265</v>
      </c>
      <c r="H7" s="7"/>
    </row>
    <row r="8" customFormat="false" ht="15" hidden="false" customHeight="true" outlineLevel="0" collapsed="false">
      <c r="A8" s="5" t="s">
        <v>74</v>
      </c>
      <c r="B8" s="6" t="n">
        <v>0</v>
      </c>
      <c r="C8" s="6" t="n">
        <v>0.05</v>
      </c>
      <c r="D8" s="6" t="n">
        <v>0.08</v>
      </c>
      <c r="E8" s="6" t="n">
        <f aca="false">IFERROR(AVERAGE(B8:D8),0)</f>
        <v>0.0433333333333333</v>
      </c>
      <c r="F8" s="7" t="str">
        <f aca="false">IF(E8&gt;0,"Sí","No")</f>
        <v>Sí</v>
      </c>
      <c r="G8" s="8" t="n">
        <v>46265</v>
      </c>
      <c r="H8" s="7" t="s">
        <v>75</v>
      </c>
    </row>
    <row r="9" customFormat="false" ht="15" hidden="false" customHeight="true" outlineLevel="0" collapsed="false">
      <c r="A9" s="5" t="s">
        <v>76</v>
      </c>
      <c r="B9" s="6" t="n">
        <v>0.07</v>
      </c>
      <c r="C9" s="6" t="n">
        <v>0.1</v>
      </c>
      <c r="D9" s="6"/>
      <c r="E9" s="6" t="n">
        <f aca="false">IFERROR(AVERAGE(B9:D9),0)</f>
        <v>0.085</v>
      </c>
      <c r="F9" s="7" t="str">
        <f aca="false">IF(E9&gt;0,"Sí","No")</f>
        <v>Sí</v>
      </c>
      <c r="G9" s="8" t="n">
        <v>46265</v>
      </c>
      <c r="H9" s="7" t="s">
        <v>77</v>
      </c>
    </row>
    <row r="10" customFormat="false" ht="23.25" hidden="false" customHeight="true" outlineLevel="0" collapsed="false">
      <c r="A10" s="5" t="s">
        <v>78</v>
      </c>
      <c r="B10" s="6" t="n">
        <v>0.29</v>
      </c>
      <c r="C10" s="6"/>
      <c r="D10" s="6"/>
      <c r="E10" s="6" t="n">
        <f aca="false">IFERROR(AVERAGE(B10:D10),0)</f>
        <v>0.29</v>
      </c>
      <c r="F10" s="7" t="str">
        <f aca="false">IF(E10&gt;0,"Sí","No")</f>
        <v>Sí</v>
      </c>
      <c r="G10" s="8" t="n">
        <v>46265</v>
      </c>
      <c r="H10" s="7" t="s">
        <v>79</v>
      </c>
    </row>
    <row r="11" customFormat="false" ht="15" hidden="false" customHeight="true" outlineLevel="0" collapsed="false">
      <c r="A11" s="5" t="s">
        <v>80</v>
      </c>
      <c r="B11" s="6" t="n">
        <v>0.07</v>
      </c>
      <c r="C11" s="6" t="n">
        <v>0.15</v>
      </c>
      <c r="D11" s="6"/>
      <c r="E11" s="6" t="n">
        <f aca="false">IFERROR(AVERAGE(B11:D11),0)</f>
        <v>0.11</v>
      </c>
      <c r="F11" s="7" t="str">
        <f aca="false">IF(E11&gt;0,"Sí","No")</f>
        <v>Sí</v>
      </c>
      <c r="G11" s="8" t="n">
        <v>46265</v>
      </c>
      <c r="H11" s="7" t="s">
        <v>81</v>
      </c>
    </row>
    <row r="12" customFormat="false" ht="15" hidden="false" customHeight="true" outlineLevel="0" collapsed="false">
      <c r="A12" s="5" t="s">
        <v>82</v>
      </c>
      <c r="B12" s="6" t="n">
        <v>0.06</v>
      </c>
      <c r="C12" s="6" t="n">
        <v>0.1</v>
      </c>
      <c r="D12" s="6"/>
      <c r="E12" s="6" t="n">
        <f aca="false">IFERROR(AVERAGE(B12:D12),0)</f>
        <v>0.08</v>
      </c>
      <c r="F12" s="7" t="str">
        <f aca="false">IF(E12&gt;0,"Sí","No")</f>
        <v>Sí</v>
      </c>
      <c r="G12" s="8" t="n">
        <v>46265</v>
      </c>
      <c r="H12" s="7" t="s">
        <v>83</v>
      </c>
    </row>
    <row r="13" customFormat="false" ht="23.25" hidden="false" customHeight="true" outlineLevel="0" collapsed="false">
      <c r="A13" s="5" t="s">
        <v>84</v>
      </c>
      <c r="B13" s="6" t="n">
        <v>0.03</v>
      </c>
      <c r="C13" s="6"/>
      <c r="D13" s="6"/>
      <c r="E13" s="6" t="n">
        <f aca="false">IFERROR(AVERAGE(B13:D13),0)</f>
        <v>0.03</v>
      </c>
      <c r="F13" s="7" t="str">
        <f aca="false">IF(E13&gt;0,"Sí","No")</f>
        <v>Sí</v>
      </c>
      <c r="G13" s="8" t="n">
        <v>46265</v>
      </c>
      <c r="H13" s="7" t="s">
        <v>85</v>
      </c>
    </row>
    <row r="14" customFormat="false" ht="15" hidden="false" customHeight="true" outlineLevel="0" collapsed="false">
      <c r="A14" s="5" t="s">
        <v>86</v>
      </c>
      <c r="B14" s="6" t="n">
        <v>0</v>
      </c>
      <c r="C14" s="6"/>
      <c r="D14" s="6"/>
      <c r="E14" s="6" t="n">
        <f aca="false">IFERROR(AVERAGE(B14:D14),0)</f>
        <v>0</v>
      </c>
      <c r="F14" s="7" t="str">
        <f aca="false">IF(E14&gt;0,"Sí","No")</f>
        <v>No</v>
      </c>
      <c r="G14" s="8" t="n">
        <v>46265</v>
      </c>
      <c r="H14" s="7"/>
    </row>
    <row r="15" customFormat="false" ht="15" hidden="false" customHeight="true" outlineLevel="0" collapsed="false">
      <c r="A15" s="5" t="s">
        <v>87</v>
      </c>
      <c r="B15" s="6" t="n">
        <v>0</v>
      </c>
      <c r="C15" s="6"/>
      <c r="D15" s="6"/>
      <c r="E15" s="6" t="n">
        <f aca="false">IFERROR(AVERAGE(B15:D15),0)</f>
        <v>0</v>
      </c>
      <c r="F15" s="7" t="str">
        <f aca="false">IF(E15&gt;0,"Sí","No")</f>
        <v>No</v>
      </c>
      <c r="G15" s="8" t="n">
        <v>46265</v>
      </c>
      <c r="H15" s="7"/>
    </row>
    <row r="16" customFormat="false" ht="15" hidden="false" customHeight="true" outlineLevel="0" collapsed="false">
      <c r="A16" s="5" t="s">
        <v>88</v>
      </c>
      <c r="B16" s="6" t="n">
        <v>0</v>
      </c>
      <c r="C16" s="6"/>
      <c r="D16" s="6"/>
      <c r="E16" s="6" t="n">
        <f aca="false">IFERROR(AVERAGE(B16:D16),0)</f>
        <v>0</v>
      </c>
      <c r="F16" s="7" t="str">
        <f aca="false">IF(E16&gt;0,"Sí","No")</f>
        <v>No</v>
      </c>
      <c r="G16" s="8" t="n">
        <v>46265</v>
      </c>
      <c r="H16" s="7"/>
    </row>
    <row r="17" customFormat="false" ht="15" hidden="false" customHeight="true" outlineLevel="0" collapsed="false">
      <c r="A17" s="5" t="s">
        <v>89</v>
      </c>
      <c r="B17" s="6" t="n">
        <v>0</v>
      </c>
      <c r="C17" s="6"/>
      <c r="D17" s="6"/>
      <c r="E17" s="6" t="n">
        <f aca="false">IFERROR(AVERAGE(B17:D17),0)</f>
        <v>0</v>
      </c>
      <c r="F17" s="7" t="str">
        <f aca="false">IF(E17&gt;0,"Sí","No")</f>
        <v>No</v>
      </c>
      <c r="G17" s="8" t="n">
        <v>46265</v>
      </c>
      <c r="H17" s="7"/>
    </row>
    <row r="18" customFormat="false" ht="15" hidden="false" customHeight="true" outlineLevel="0" collapsed="false">
      <c r="A18" s="5" t="s">
        <v>90</v>
      </c>
      <c r="B18" s="6" t="n">
        <v>0</v>
      </c>
      <c r="C18" s="6"/>
      <c r="D18" s="6"/>
      <c r="E18" s="6" t="n">
        <f aca="false">IFERROR(AVERAGE(B18:D18),0)</f>
        <v>0</v>
      </c>
      <c r="F18" s="7" t="str">
        <f aca="false">IF(E18&gt;0,"Sí","No")</f>
        <v>No</v>
      </c>
      <c r="G18" s="8" t="n">
        <v>46265</v>
      </c>
      <c r="H18" s="7"/>
    </row>
    <row r="19" customFormat="false" ht="15" hidden="false" customHeight="true" outlineLevel="0" collapsed="false">
      <c r="A19" s="5" t="s">
        <v>91</v>
      </c>
      <c r="B19" s="6" t="n">
        <v>0</v>
      </c>
      <c r="C19" s="6"/>
      <c r="D19" s="6"/>
      <c r="E19" s="6" t="n">
        <f aca="false">IFERROR(AVERAGE(B19:D19),0)</f>
        <v>0</v>
      </c>
      <c r="F19" s="7" t="str">
        <f aca="false">IF(E19&gt;0,"Sí","No")</f>
        <v>No</v>
      </c>
      <c r="G19" s="8" t="n">
        <v>46265</v>
      </c>
      <c r="H19" s="7"/>
    </row>
    <row r="20" customFormat="false" ht="15" hidden="false" customHeight="true" outlineLevel="0" collapsed="false">
      <c r="A20" s="5" t="s">
        <v>92</v>
      </c>
      <c r="B20" s="6" t="n">
        <v>0</v>
      </c>
      <c r="C20" s="6"/>
      <c r="D20" s="6"/>
      <c r="E20" s="6" t="n">
        <f aca="false">IFERROR(AVERAGE(B20:D20),0)</f>
        <v>0</v>
      </c>
      <c r="F20" s="7" t="str">
        <f aca="false">IF(E20&gt;0,"Sí","No")</f>
        <v>No</v>
      </c>
      <c r="G20" s="8" t="n">
        <v>46265</v>
      </c>
      <c r="H20" s="7"/>
    </row>
    <row r="21" customFormat="false" ht="15" hidden="false" customHeight="true" outlineLevel="0" collapsed="false">
      <c r="A21" s="5" t="s">
        <v>93</v>
      </c>
      <c r="B21" s="6" t="n">
        <v>0</v>
      </c>
      <c r="C21" s="6"/>
      <c r="D21" s="6"/>
      <c r="E21" s="6" t="n">
        <f aca="false">IFERROR(AVERAGE(B21:D21),0)</f>
        <v>0</v>
      </c>
      <c r="F21" s="7" t="str">
        <f aca="false">IF(E21&gt;0,"Sí","No")</f>
        <v>No</v>
      </c>
      <c r="G21" s="8" t="n">
        <v>46265</v>
      </c>
      <c r="H21" s="7"/>
    </row>
    <row r="22" customFormat="false" ht="15" hidden="false" customHeight="true" outlineLevel="0" collapsed="false">
      <c r="A22" s="5" t="s">
        <v>94</v>
      </c>
      <c r="B22" s="6" t="n">
        <v>0</v>
      </c>
      <c r="C22" s="6"/>
      <c r="D22" s="6"/>
      <c r="E22" s="6" t="n">
        <f aca="false">IFERROR(AVERAGE(B22:D22),0)</f>
        <v>0</v>
      </c>
      <c r="F22" s="7" t="str">
        <f aca="false">IF(E22&gt;0,"Sí","No")</f>
        <v>No</v>
      </c>
      <c r="G22" s="8" t="n">
        <v>46265</v>
      </c>
      <c r="H22" s="7"/>
    </row>
    <row r="23" customFormat="false" ht="15" hidden="false" customHeight="true" outlineLevel="0" collapsed="false">
      <c r="A23" s="5" t="s">
        <v>95</v>
      </c>
      <c r="B23" s="6" t="n">
        <v>0</v>
      </c>
      <c r="C23" s="6"/>
      <c r="D23" s="6"/>
      <c r="E23" s="6" t="n">
        <f aca="false">IFERROR(AVERAGE(B23:D23),0)</f>
        <v>0</v>
      </c>
      <c r="F23" s="7" t="str">
        <f aca="false">IF(E23&gt;0,"Sí","No")</f>
        <v>No</v>
      </c>
      <c r="G23" s="8" t="n">
        <v>46265</v>
      </c>
      <c r="H23" s="7"/>
    </row>
    <row r="24" customFormat="false" ht="15" hidden="false" customHeight="true" outlineLevel="0" collapsed="false">
      <c r="A24" s="5" t="s">
        <v>96</v>
      </c>
      <c r="B24" s="6" t="n">
        <v>0</v>
      </c>
      <c r="C24" s="6"/>
      <c r="D24" s="6"/>
      <c r="E24" s="6" t="n">
        <f aca="false">IFERROR(AVERAGE(B24:D24),0)</f>
        <v>0</v>
      </c>
      <c r="F24" s="7" t="str">
        <f aca="false">IF(E24&gt;0,"Sí","No")</f>
        <v>No</v>
      </c>
      <c r="G24" s="8" t="n">
        <v>46265</v>
      </c>
      <c r="H24" s="7"/>
    </row>
    <row r="25" customFormat="false" ht="15" hidden="false" customHeight="true" outlineLevel="0" collapsed="false">
      <c r="A25" s="5" t="s">
        <v>97</v>
      </c>
      <c r="B25" s="6" t="n">
        <v>0</v>
      </c>
      <c r="C25" s="6"/>
      <c r="D25" s="6"/>
      <c r="E25" s="6" t="n">
        <f aca="false">IFERROR(AVERAGE(B25:D25),0)</f>
        <v>0</v>
      </c>
      <c r="F25" s="7" t="str">
        <f aca="false">IF(E25&gt;0,"Sí","No")</f>
        <v>No</v>
      </c>
      <c r="G25" s="8" t="n">
        <v>46265</v>
      </c>
      <c r="H25" s="7"/>
    </row>
    <row r="26" customFormat="false" ht="15" hidden="false" customHeight="true" outlineLevel="0" collapsed="false">
      <c r="A26" s="5" t="s">
        <v>98</v>
      </c>
      <c r="B26" s="6" t="n">
        <v>0</v>
      </c>
      <c r="C26" s="6"/>
      <c r="D26" s="6"/>
      <c r="E26" s="6" t="n">
        <f aca="false">IFERROR(AVERAGE(B26:D26),0)</f>
        <v>0</v>
      </c>
      <c r="F26" s="7" t="str">
        <f aca="false">IF(E26&gt;0,"Sí","No")</f>
        <v>No</v>
      </c>
      <c r="G26" s="8" t="n">
        <v>46265</v>
      </c>
      <c r="H26" s="7"/>
    </row>
    <row r="27" customFormat="false" ht="23.25" hidden="false" customHeight="true" outlineLevel="0" collapsed="false">
      <c r="A27" s="5" t="s">
        <v>99</v>
      </c>
      <c r="B27" s="6" t="n">
        <v>0</v>
      </c>
      <c r="C27" s="6"/>
      <c r="D27" s="6"/>
      <c r="E27" s="6" t="n">
        <f aca="false">IFERROR(AVERAGE(B27:D27),0)</f>
        <v>0</v>
      </c>
      <c r="F27" s="7" t="str">
        <f aca="false">IF(E27&gt;0,"Sí","No")</f>
        <v>No</v>
      </c>
      <c r="G27" s="8" t="n">
        <v>46265</v>
      </c>
      <c r="H27" s="7" t="s">
        <v>100</v>
      </c>
    </row>
    <row r="28" customFormat="false" ht="15" hidden="false" customHeight="true" outlineLevel="0" collapsed="false">
      <c r="A28" s="5" t="s">
        <v>101</v>
      </c>
      <c r="B28" s="6" t="n">
        <v>0</v>
      </c>
      <c r="C28" s="6"/>
      <c r="D28" s="6"/>
      <c r="E28" s="6" t="n">
        <f aca="false">IFERROR(AVERAGE(B28:D28),0)</f>
        <v>0</v>
      </c>
      <c r="F28" s="7" t="str">
        <f aca="false">IF(E28&gt;0,"Sí","No")</f>
        <v>No</v>
      </c>
      <c r="G28" s="8" t="n">
        <v>46265</v>
      </c>
      <c r="H28" s="7"/>
    </row>
    <row r="29" customFormat="false" ht="15" hidden="false" customHeight="true" outlineLevel="0" collapsed="false">
      <c r="A29" s="5" t="s">
        <v>102</v>
      </c>
      <c r="B29" s="6" t="n">
        <v>0</v>
      </c>
      <c r="C29" s="6"/>
      <c r="D29" s="6"/>
      <c r="E29" s="6" t="n">
        <f aca="false">IFERROR(AVERAGE(B29:D29),0)</f>
        <v>0</v>
      </c>
      <c r="F29" s="7" t="str">
        <f aca="false">IF(E29&gt;0,"Sí","No")</f>
        <v>No</v>
      </c>
      <c r="G29" s="8" t="n">
        <v>46265</v>
      </c>
      <c r="H29" s="7"/>
    </row>
    <row r="30" customFormat="false" ht="15" hidden="false" customHeight="true" outlineLevel="0" collapsed="false">
      <c r="A30" s="5" t="s">
        <v>103</v>
      </c>
      <c r="B30" s="6" t="n">
        <v>0</v>
      </c>
      <c r="C30" s="6"/>
      <c r="D30" s="6"/>
      <c r="E30" s="6" t="n">
        <f aca="false">IFERROR(AVERAGE(B30:D30),0)</f>
        <v>0</v>
      </c>
      <c r="F30" s="7" t="str">
        <f aca="false">IF(E30&gt;0,"Sí","No")</f>
        <v>No</v>
      </c>
      <c r="G30" s="8" t="n">
        <v>46265</v>
      </c>
      <c r="H30" s="7"/>
    </row>
    <row r="31" customFormat="false" ht="15" hidden="false" customHeight="true" outlineLevel="0" collapsed="false">
      <c r="A31" s="5" t="s">
        <v>104</v>
      </c>
      <c r="B31" s="6" t="n">
        <v>0</v>
      </c>
      <c r="C31" s="6"/>
      <c r="D31" s="6"/>
      <c r="E31" s="6" t="n">
        <f aca="false">IFERROR(AVERAGE(B31:D31),0)</f>
        <v>0</v>
      </c>
      <c r="F31" s="7" t="str">
        <f aca="false">IF(E31&gt;0,"Sí","No")</f>
        <v>No</v>
      </c>
      <c r="G31" s="8" t="n">
        <v>46265</v>
      </c>
      <c r="H31" s="7"/>
    </row>
    <row r="32" customFormat="false" ht="15" hidden="false" customHeight="true" outlineLevel="0" collapsed="false">
      <c r="A32" s="5" t="s">
        <v>105</v>
      </c>
      <c r="B32" s="6" t="n">
        <v>0</v>
      </c>
      <c r="C32" s="6"/>
      <c r="D32" s="6"/>
      <c r="E32" s="6" t="n">
        <f aca="false">IFERROR(AVERAGE(B32:D32),0)</f>
        <v>0</v>
      </c>
      <c r="F32" s="7" t="str">
        <f aca="false">IF(E32&gt;0,"Sí","No")</f>
        <v>No</v>
      </c>
      <c r="G32" s="8" t="n">
        <v>46265</v>
      </c>
      <c r="H32" s="7"/>
    </row>
    <row r="33" customFormat="false" ht="15" hidden="false" customHeight="true" outlineLevel="0" collapsed="false">
      <c r="A33" s="5" t="s">
        <v>106</v>
      </c>
      <c r="B33" s="6" t="n">
        <v>0</v>
      </c>
      <c r="C33" s="6"/>
      <c r="D33" s="6"/>
      <c r="E33" s="6" t="n">
        <f aca="false">IFERROR(AVERAGE(B33:D33),0)</f>
        <v>0</v>
      </c>
      <c r="F33" s="7" t="str">
        <f aca="false">IF(E33&gt;0,"Sí","No")</f>
        <v>No</v>
      </c>
      <c r="G33" s="8" t="n">
        <v>46265</v>
      </c>
      <c r="H33" s="7"/>
    </row>
    <row r="34" customFormat="false" ht="15" hidden="false" customHeight="true" outlineLevel="0" collapsed="false">
      <c r="A34" s="5" t="s">
        <v>107</v>
      </c>
      <c r="B34" s="6" t="n">
        <v>0</v>
      </c>
      <c r="C34" s="6"/>
      <c r="D34" s="6"/>
      <c r="E34" s="6" t="n">
        <f aca="false">IFERROR(AVERAGE(B34:D34),0)</f>
        <v>0</v>
      </c>
      <c r="F34" s="7" t="str">
        <f aca="false">IF(E34&gt;0,"Sí","No")</f>
        <v>No</v>
      </c>
      <c r="G34" s="8" t="n">
        <v>46265</v>
      </c>
      <c r="H34" s="7"/>
    </row>
    <row r="35" customFormat="false" ht="15" hidden="false" customHeight="true" outlineLevel="0" collapsed="false">
      <c r="A35" s="5" t="s">
        <v>108</v>
      </c>
      <c r="B35" s="6" t="n">
        <v>0</v>
      </c>
      <c r="C35" s="6"/>
      <c r="D35" s="6"/>
      <c r="E35" s="6" t="n">
        <f aca="false">IFERROR(AVERAGE(B35:D35),0)</f>
        <v>0</v>
      </c>
      <c r="F35" s="7" t="str">
        <f aca="false">IF(E35&gt;0,"Sí","No")</f>
        <v>No</v>
      </c>
      <c r="G35" s="8" t="n">
        <v>46265</v>
      </c>
      <c r="H35" s="7"/>
    </row>
    <row r="36" customFormat="false" ht="15" hidden="false" customHeight="true" outlineLevel="0" collapsed="false">
      <c r="A36" s="5" t="s">
        <v>109</v>
      </c>
      <c r="B36" s="6" t="n">
        <v>0</v>
      </c>
      <c r="C36" s="6"/>
      <c r="D36" s="6"/>
      <c r="E36" s="6" t="n">
        <f aca="false">IFERROR(AVERAGE(B36:D36),0)</f>
        <v>0</v>
      </c>
      <c r="F36" s="7" t="str">
        <f aca="false">IF(E36&gt;0,"Sí","No")</f>
        <v>No</v>
      </c>
      <c r="G36" s="8" t="n">
        <v>46265</v>
      </c>
      <c r="H36" s="7"/>
    </row>
    <row r="37" customFormat="false" ht="15" hidden="false" customHeight="true" outlineLevel="0" collapsed="false">
      <c r="A37" s="5" t="s">
        <v>110</v>
      </c>
      <c r="B37" s="6" t="n">
        <v>0</v>
      </c>
      <c r="C37" s="6"/>
      <c r="D37" s="6"/>
      <c r="E37" s="6" t="n">
        <f aca="false">IFERROR(AVERAGE(B37:D37),0)</f>
        <v>0</v>
      </c>
      <c r="F37" s="7" t="str">
        <f aca="false">IF(E37&gt;0,"Sí","No")</f>
        <v>No</v>
      </c>
      <c r="G37" s="8" t="n">
        <v>46265</v>
      </c>
      <c r="H37" s="7"/>
    </row>
    <row r="38" customFormat="false" ht="15" hidden="false" customHeight="true" outlineLevel="0" collapsed="false">
      <c r="A38" s="5" t="s">
        <v>111</v>
      </c>
      <c r="B38" s="6" t="n">
        <v>0</v>
      </c>
      <c r="C38" s="6"/>
      <c r="D38" s="6"/>
      <c r="E38" s="6" t="n">
        <f aca="false">IFERROR(AVERAGE(B38:D38),0)</f>
        <v>0</v>
      </c>
      <c r="F38" s="7" t="str">
        <f aca="false">IF(E38&gt;0,"Sí","No")</f>
        <v>No</v>
      </c>
      <c r="G38" s="8" t="n">
        <v>46265</v>
      </c>
      <c r="H38" s="7"/>
    </row>
    <row r="39" customFormat="false" ht="15" hidden="false" customHeight="true" outlineLevel="0" collapsed="false">
      <c r="A39" s="5" t="s">
        <v>112</v>
      </c>
      <c r="B39" s="6" t="n">
        <v>0</v>
      </c>
      <c r="C39" s="6"/>
      <c r="D39" s="6"/>
      <c r="E39" s="6" t="n">
        <f aca="false">IFERROR(AVERAGE(B39:D39),0)</f>
        <v>0</v>
      </c>
      <c r="F39" s="7" t="str">
        <f aca="false">IF(E39&gt;0,"Sí","No")</f>
        <v>No</v>
      </c>
      <c r="G39" s="8" t="n">
        <v>46265</v>
      </c>
      <c r="H39" s="7"/>
    </row>
    <row r="40" customFormat="false" ht="15" hidden="false" customHeight="true" outlineLevel="0" collapsed="false">
      <c r="A40" s="5" t="s">
        <v>113</v>
      </c>
      <c r="B40" s="6" t="n">
        <v>0</v>
      </c>
      <c r="C40" s="6"/>
      <c r="D40" s="6"/>
      <c r="E40" s="6" t="n">
        <f aca="false">IFERROR(AVERAGE(B40:D40),0)</f>
        <v>0</v>
      </c>
      <c r="F40" s="7" t="str">
        <f aca="false">IF(E40&gt;0,"Sí","No")</f>
        <v>No</v>
      </c>
      <c r="G40" s="8" t="n">
        <v>46265</v>
      </c>
      <c r="H40" s="7"/>
    </row>
    <row r="41" customFormat="false" ht="15" hidden="false" customHeight="true" outlineLevel="0" collapsed="false">
      <c r="A41" s="5" t="s">
        <v>114</v>
      </c>
      <c r="B41" s="6" t="n">
        <v>0</v>
      </c>
      <c r="C41" s="6"/>
      <c r="D41" s="6"/>
      <c r="E41" s="6" t="n">
        <f aca="false">IFERROR(AVERAGE(B41:D41),0)</f>
        <v>0</v>
      </c>
      <c r="F41" s="7" t="str">
        <f aca="false">IF(E41&gt;0,"Sí","No")</f>
        <v>No</v>
      </c>
      <c r="G41" s="8" t="n">
        <v>46265</v>
      </c>
      <c r="H41" s="7"/>
    </row>
    <row r="42" customFormat="false" ht="15" hidden="false" customHeight="true" outlineLevel="0" collapsed="false">
      <c r="A42" s="5" t="s">
        <v>115</v>
      </c>
      <c r="B42" s="6" t="n">
        <v>0</v>
      </c>
      <c r="C42" s="6"/>
      <c r="D42" s="6"/>
      <c r="E42" s="6" t="n">
        <f aca="false">IFERROR(AVERAGE(B42:D42),0)</f>
        <v>0</v>
      </c>
      <c r="F42" s="7" t="str">
        <f aca="false">IF(E42&gt;0,"Sí","No")</f>
        <v>No</v>
      </c>
      <c r="G42" s="8" t="n">
        <v>46265</v>
      </c>
      <c r="H42" s="7"/>
    </row>
    <row r="43" customFormat="false" ht="15" hidden="false" customHeight="true" outlineLevel="0" collapsed="false">
      <c r="A43" s="5" t="s">
        <v>116</v>
      </c>
      <c r="B43" s="6" t="n">
        <v>0</v>
      </c>
      <c r="C43" s="6"/>
      <c r="D43" s="6"/>
      <c r="E43" s="6" t="n">
        <f aca="false">IFERROR(AVERAGE(B43:D43),0)</f>
        <v>0</v>
      </c>
      <c r="F43" s="7" t="str">
        <f aca="false">IF(E43&gt;0,"Sí","No")</f>
        <v>No</v>
      </c>
      <c r="G43" s="8" t="n">
        <v>46265</v>
      </c>
      <c r="H43" s="7"/>
    </row>
    <row r="44" customFormat="false" ht="15" hidden="false" customHeight="true" outlineLevel="0" collapsed="false">
      <c r="A44" s="5" t="s">
        <v>117</v>
      </c>
      <c r="B44" s="6" t="n">
        <v>0</v>
      </c>
      <c r="C44" s="6"/>
      <c r="D44" s="6"/>
      <c r="E44" s="6" t="n">
        <f aca="false">IFERROR(AVERAGE(B44:D44),0)</f>
        <v>0</v>
      </c>
      <c r="F44" s="7" t="str">
        <f aca="false">IF(E44&gt;0,"Sí","No")</f>
        <v>No</v>
      </c>
      <c r="G44" s="8" t="n">
        <v>46265</v>
      </c>
      <c r="H44" s="7"/>
    </row>
    <row r="45" customFormat="false" ht="15" hidden="false" customHeight="true" outlineLevel="0" collapsed="false">
      <c r="A45" s="5" t="s">
        <v>118</v>
      </c>
      <c r="B45" s="6" t="n">
        <v>0</v>
      </c>
      <c r="C45" s="6"/>
      <c r="D45" s="6"/>
      <c r="E45" s="6" t="n">
        <f aca="false">IFERROR(AVERAGE(B45:D45),0)</f>
        <v>0</v>
      </c>
      <c r="F45" s="7" t="str">
        <f aca="false">IF(E45&gt;0,"Sí","No")</f>
        <v>No</v>
      </c>
      <c r="G45" s="8" t="n">
        <v>46265</v>
      </c>
      <c r="H45" s="7" t="s">
        <v>119</v>
      </c>
    </row>
    <row r="46" customFormat="false" ht="15" hidden="false" customHeight="true" outlineLevel="0" collapsed="false">
      <c r="A46" s="5" t="s">
        <v>120</v>
      </c>
      <c r="B46" s="6" t="n">
        <v>0</v>
      </c>
      <c r="C46" s="6"/>
      <c r="D46" s="6"/>
      <c r="E46" s="6" t="n">
        <f aca="false">IFERROR(AVERAGE(B46:D46),0)</f>
        <v>0</v>
      </c>
      <c r="F46" s="7" t="str">
        <f aca="false">IF(E46&gt;0,"Sí","No")</f>
        <v>No</v>
      </c>
      <c r="G46" s="8" t="n">
        <v>46265</v>
      </c>
      <c r="H46" s="7"/>
    </row>
    <row r="47" customFormat="false" ht="15" hidden="false" customHeight="true" outlineLevel="0" collapsed="false">
      <c r="A47" s="5" t="s">
        <v>121</v>
      </c>
      <c r="B47" s="6" t="n">
        <v>0</v>
      </c>
      <c r="C47" s="6"/>
      <c r="D47" s="6"/>
      <c r="E47" s="6" t="n">
        <f aca="false">IFERROR(AVERAGE(B47:D47),0)</f>
        <v>0</v>
      </c>
      <c r="F47" s="7" t="str">
        <f aca="false">IF(E47&gt;0,"Sí","No")</f>
        <v>No</v>
      </c>
      <c r="G47" s="8" t="n">
        <v>46265</v>
      </c>
      <c r="H47" s="7"/>
    </row>
    <row r="48" customFormat="false" ht="23.25" hidden="false" customHeight="true" outlineLevel="0" collapsed="false">
      <c r="A48" s="5" t="s">
        <v>122</v>
      </c>
      <c r="B48" s="6" t="n">
        <v>0</v>
      </c>
      <c r="C48" s="6"/>
      <c r="D48" s="6"/>
      <c r="E48" s="6" t="n">
        <f aca="false">IFERROR(AVERAGE(B48:D48),0)</f>
        <v>0</v>
      </c>
      <c r="F48" s="7" t="str">
        <f aca="false">IF(E48&gt;0,"Sí","No")</f>
        <v>No</v>
      </c>
      <c r="G48" s="8" t="n">
        <v>46265</v>
      </c>
      <c r="H48" s="7" t="s">
        <v>123</v>
      </c>
    </row>
    <row r="49" customFormat="false" ht="15" hidden="false" customHeight="true" outlineLevel="0" collapsed="false">
      <c r="A49" s="5" t="s">
        <v>124</v>
      </c>
      <c r="B49" s="6" t="n">
        <v>0</v>
      </c>
      <c r="C49" s="6"/>
      <c r="D49" s="6"/>
      <c r="E49" s="6" t="n">
        <f aca="false">IFERROR(AVERAGE(B49:D49),0)</f>
        <v>0</v>
      </c>
      <c r="F49" s="7" t="str">
        <f aca="false">IF(E49&gt;0,"Sí","No")</f>
        <v>No</v>
      </c>
      <c r="G49" s="8" t="n">
        <v>46265</v>
      </c>
      <c r="H49" s="7"/>
    </row>
    <row r="50" customFormat="false" ht="15" hidden="false" customHeight="true" outlineLevel="0" collapsed="false">
      <c r="A50" s="5" t="s">
        <v>125</v>
      </c>
      <c r="B50" s="6" t="n">
        <v>0</v>
      </c>
      <c r="C50" s="6"/>
      <c r="D50" s="6"/>
      <c r="E50" s="6" t="n">
        <f aca="false">IFERROR(AVERAGE(B50:D50),0)</f>
        <v>0</v>
      </c>
      <c r="F50" s="7" t="str">
        <f aca="false">IF(E50&gt;0,"Sí","No")</f>
        <v>No</v>
      </c>
      <c r="G50" s="8" t="n">
        <v>46265</v>
      </c>
      <c r="H50" s="7"/>
    </row>
    <row r="51" customFormat="false" ht="15" hidden="false" customHeight="true" outlineLevel="0" collapsed="false">
      <c r="A51" s="5" t="s">
        <v>126</v>
      </c>
      <c r="B51" s="6" t="n">
        <v>0</v>
      </c>
      <c r="C51" s="6"/>
      <c r="D51" s="6"/>
      <c r="E51" s="6" t="n">
        <f aca="false">IFERROR(AVERAGE(B51:D51),0)</f>
        <v>0</v>
      </c>
      <c r="F51" s="7" t="str">
        <f aca="false">IF(E51&gt;0,"Sí","No")</f>
        <v>No</v>
      </c>
      <c r="G51" s="8" t="n">
        <v>46265</v>
      </c>
      <c r="H51" s="7"/>
    </row>
    <row r="52" customFormat="false" ht="15" hidden="false" customHeight="true" outlineLevel="0" collapsed="false">
      <c r="A52" s="5" t="s">
        <v>127</v>
      </c>
      <c r="B52" s="6" t="n">
        <v>0</v>
      </c>
      <c r="C52" s="6"/>
      <c r="D52" s="6" t="n">
        <v>0.08</v>
      </c>
      <c r="E52" s="6" t="n">
        <f aca="false">IFERROR(AVERAGE(B52:D52),0)</f>
        <v>0.04</v>
      </c>
      <c r="F52" s="7" t="str">
        <f aca="false">IF(E52&gt;0,"Sí","No")</f>
        <v>Sí</v>
      </c>
      <c r="G52" s="8" t="n">
        <v>46265</v>
      </c>
      <c r="H52" s="7" t="s">
        <v>128</v>
      </c>
    </row>
    <row r="53" customFormat="false" ht="15" hidden="false" customHeight="true" outlineLevel="0" collapsed="false">
      <c r="A53" s="5" t="s">
        <v>129</v>
      </c>
      <c r="B53" s="6" t="n">
        <v>0</v>
      </c>
      <c r="C53" s="6"/>
      <c r="D53" s="6" t="n">
        <v>0.08</v>
      </c>
      <c r="E53" s="6" t="n">
        <f aca="false">IFERROR(AVERAGE(B53:D53),0)</f>
        <v>0.04</v>
      </c>
      <c r="F53" s="7" t="str">
        <f aca="false">IF(E53&gt;0,"Sí","No")</f>
        <v>Sí</v>
      </c>
      <c r="G53" s="8" t="n">
        <v>46265</v>
      </c>
      <c r="H53" s="7" t="s">
        <v>130</v>
      </c>
    </row>
    <row r="54" customFormat="false" ht="15" hidden="false" customHeight="true" outlineLevel="0" collapsed="false">
      <c r="A54" s="5" t="s">
        <v>131</v>
      </c>
      <c r="B54" s="6" t="n">
        <v>0</v>
      </c>
      <c r="C54" s="6"/>
      <c r="D54" s="6"/>
      <c r="E54" s="6" t="n">
        <f aca="false">IFERROR(AVERAGE(B54:D54),0)</f>
        <v>0</v>
      </c>
      <c r="F54" s="7" t="str">
        <f aca="false">IF(E54&gt;0,"Sí","No")</f>
        <v>No</v>
      </c>
      <c r="G54" s="8" t="n">
        <v>46265</v>
      </c>
      <c r="H54" s="7"/>
    </row>
    <row r="55" customFormat="false" ht="15" hidden="false" customHeight="true" outlineLevel="0" collapsed="false">
      <c r="A55" s="5" t="s">
        <v>132</v>
      </c>
      <c r="B55" s="6" t="n">
        <v>0</v>
      </c>
      <c r="C55" s="6"/>
      <c r="D55" s="6"/>
      <c r="E55" s="6" t="n">
        <f aca="false">IFERROR(AVERAGE(B55:D55),0)</f>
        <v>0</v>
      </c>
      <c r="F55" s="7" t="str">
        <f aca="false">IF(E55&gt;0,"Sí","No")</f>
        <v>No</v>
      </c>
      <c r="G55" s="8" t="n">
        <v>46265</v>
      </c>
      <c r="H55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2026-08-31T16:36:49Z</dcterms:created>
  <dc:creator>openpyxl</dc:creator>
  <dc:description/>
  <dc:language>en-US</dc:language>
  <cp:lastModifiedBy/>
  <dcterms:modified xsi:type="dcterms:W3CDTF">2026-09-07T04:06:09Z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