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besandoval\Documents\Repos Bryan\Bryan English\"/>
    </mc:Choice>
  </mc:AlternateContent>
  <xr:revisionPtr revIDLastSave="0" documentId="13_ncr:1_{3A6BB66F-51B8-4545-B3EA-2BC3AEC5B26D}" xr6:coauthVersionLast="47" xr6:coauthVersionMax="47" xr10:uidLastSave="{00000000-0000-0000-0000-000000000000}"/>
  <bookViews>
    <workbookView xWindow="-108" yWindow="-108" windowWidth="23256" windowHeight="12456" tabRatio="500" xr2:uid="{00000000-000D-0000-FFFF-FFFF00000000}"/>
  </bookViews>
  <sheets>
    <sheet name="Progreso" sheetId="1" r:id="rId1"/>
  </sheets>
  <definedNames>
    <definedName name="_xlnm._FilterDatabase" localSheetId="0" hidden="1">Progreso!$A$1:$H$59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59" i="1" l="1"/>
  <c r="G58" i="1"/>
  <c r="G57" i="1"/>
  <c r="G56" i="1"/>
  <c r="G55" i="1"/>
  <c r="E4" i="1"/>
  <c r="G4" i="1" s="1"/>
  <c r="G3" i="1"/>
  <c r="E3" i="1"/>
  <c r="E8" i="1"/>
  <c r="G8" i="1" s="1"/>
  <c r="E27" i="1"/>
  <c r="G27" i="1" s="1"/>
  <c r="E10" i="1"/>
  <c r="G10" i="1" s="1"/>
  <c r="E54" i="1"/>
  <c r="G54" i="1" s="1"/>
  <c r="E53" i="1"/>
  <c r="G53" i="1" s="1"/>
  <c r="E30" i="1"/>
  <c r="G30" i="1" s="1"/>
  <c r="E52" i="1"/>
  <c r="G52" i="1" s="1"/>
  <c r="E32" i="1"/>
  <c r="G32" i="1" s="1"/>
  <c r="E20" i="1"/>
  <c r="G20" i="1" s="1"/>
  <c r="E15" i="1"/>
  <c r="G15" i="1" s="1"/>
  <c r="E51" i="1"/>
  <c r="G51" i="1" s="1"/>
  <c r="G50" i="1"/>
  <c r="E50" i="1"/>
  <c r="E49" i="1"/>
  <c r="G49" i="1" s="1"/>
  <c r="E48" i="1"/>
  <c r="G48" i="1" s="1"/>
  <c r="E7" i="1"/>
  <c r="G7" i="1" s="1"/>
  <c r="E11" i="1"/>
  <c r="G11" i="1" s="1"/>
  <c r="E47" i="1"/>
  <c r="G47" i="1" s="1"/>
  <c r="G46" i="1"/>
  <c r="E46" i="1"/>
  <c r="E16" i="1"/>
  <c r="G16" i="1" s="1"/>
  <c r="E29" i="1"/>
  <c r="G29" i="1" s="1"/>
  <c r="G19" i="1"/>
  <c r="E45" i="1"/>
  <c r="G45" i="1" s="1"/>
  <c r="E18" i="1"/>
  <c r="G18" i="1" s="1"/>
  <c r="E21" i="1"/>
  <c r="G21" i="1" s="1"/>
  <c r="G28" i="1"/>
  <c r="E28" i="1"/>
  <c r="E44" i="1"/>
  <c r="G44" i="1" s="1"/>
  <c r="E43" i="1"/>
  <c r="G43" i="1" s="1"/>
  <c r="E12" i="1"/>
  <c r="G12" i="1" s="1"/>
  <c r="E42" i="1"/>
  <c r="G42" i="1" s="1"/>
  <c r="E9" i="1"/>
  <c r="G9" i="1" s="1"/>
  <c r="E41" i="1"/>
  <c r="G41" i="1" s="1"/>
  <c r="E40" i="1"/>
  <c r="G40" i="1" s="1"/>
  <c r="E17" i="1"/>
  <c r="G17" i="1" s="1"/>
  <c r="E5" i="1"/>
  <c r="G5" i="1" s="1"/>
  <c r="E25" i="1"/>
  <c r="G25" i="1" s="1"/>
  <c r="E39" i="1"/>
  <c r="G39" i="1" s="1"/>
  <c r="E31" i="1"/>
  <c r="G31" i="1" s="1"/>
  <c r="G24" i="1"/>
  <c r="E24" i="1"/>
  <c r="E38" i="1"/>
  <c r="G38" i="1" s="1"/>
  <c r="E26" i="1"/>
  <c r="G26" i="1" s="1"/>
  <c r="E13" i="1"/>
  <c r="G13" i="1" s="1"/>
  <c r="E2" i="1"/>
  <c r="G2" i="1" s="1"/>
  <c r="E37" i="1"/>
  <c r="G37" i="1" s="1"/>
  <c r="E22" i="1"/>
  <c r="G22" i="1" s="1"/>
  <c r="E36" i="1"/>
  <c r="G36" i="1" s="1"/>
  <c r="E23" i="1"/>
  <c r="G23" i="1" s="1"/>
  <c r="E6" i="1"/>
  <c r="G6" i="1" s="1"/>
  <c r="E35" i="1"/>
  <c r="G35" i="1" s="1"/>
  <c r="E34" i="1"/>
  <c r="G34" i="1" s="1"/>
  <c r="E33" i="1"/>
  <c r="G33" i="1" s="1"/>
  <c r="E14" i="1"/>
  <c r="G14" i="1" s="1"/>
</calcChain>
</file>

<file path=xl/sharedStrings.xml><?xml version="1.0" encoding="utf-8"?>
<sst xmlns="http://schemas.openxmlformats.org/spreadsheetml/2006/main" count="107" uniqueCount="104">
  <si>
    <t>Regla gramatical</t>
  </si>
  <si>
    <t>Tandas</t>
  </si>
  <si>
    <t>Nota acumulada</t>
  </si>
  <si>
    <t>Nota actual</t>
  </si>
  <si>
    <t>Nota total</t>
  </si>
  <si>
    <t>Meta actual</t>
  </si>
  <si>
    <t>Estado</t>
  </si>
  <si>
    <t>Notas</t>
  </si>
  <si>
    <t>Say vs Tell</t>
  </si>
  <si>
    <t>El usuario fija 75-80% (03-sep-2026), se deja en 78. Evidencia real mixta: completar 3/3 perfecto, pero traducción libre 1/3 (se sigue confundiendo said/told en ambas direcciones: "tells" en vez de "said", "said" en vez de "told").</t>
  </si>
  <si>
    <t>Past Perfect vs Presente vs Futuro</t>
  </si>
  <si>
    <t>Gerundio vs infinitivo (incluye tras preposiciones y before/after + ing)</t>
  </si>
  <si>
    <t>CONSOLIDADA: fusiona 'Gerundio tras preposiciones' (25%) + 'Uso de before/after+ing' (80%, subcaso del anterior) + la regla nueva B2 'Gerundio vs infinitivo según el verbo'. Original = promedio de las dos bases previas.</t>
  </si>
  <si>
    <t>Preposiciones (to/at/in/on/for/during/from/of)</t>
  </si>
  <si>
    <t>Se mantiene separada de 'Preposiciones de movimiento' a propósito: esa está pausada específicamente, y fusionarlas escondería ese estado.</t>
  </si>
  <si>
    <t>Preposiciones de movimiento (to/at/for/of con destinos)</t>
  </si>
  <si>
    <t>PAUSADA (01-sep-2026): error muy recurrente, esfuerzo activo descontinuado por pedido del usuario. Se deja como fila propia (no se fusiona con 'Preposiciones' general) para no perder de vista que sigue en pausa.</t>
  </si>
  <si>
    <t>Phrasal verbs con "look" (look for / look up / look at / look like)</t>
  </si>
  <si>
    <t>CONSOLIDADA. Ya cerrada/dominada; esta tanda confirma con fuerza (5/5 traducción). Se deja retirada, dato agregado solo como registro.</t>
  </si>
  <si>
    <t>Tag Questions</t>
  </si>
  <si>
    <t>Participios irregulares (incluye take/took/taken, leave/left/left)</t>
  </si>
  <si>
    <t>CONSOLIDADA: fusiona 'Participios irregulares' (que ya citaba take/took/taken como ejemplo) con la fila separada 'Take/Took/Taken' que testeaba lo mismo. Tanda D promediada (95 y 70) por venir de ambas filas.</t>
  </si>
  <si>
    <t>Artículos (a/an/the)</t>
  </si>
  <si>
    <t>Orden de sustantivos compuestos (bus stop, phone number)</t>
  </si>
  <si>
    <t>REACTIVAR: resurgió error puntual ('time of dinner' en vez de 'dinner time') || Muy buena esta tanda en el ORDEN en sí (14+/17). Los "errores" reales fueron casi todos de vocabulario, no de orden: "library" en vez de "book store" (confusión clásica biblioteca/librería), "comb" en vez de "hairbrush". "key ring" se aceptó como alternativa válida a "key chain".</t>
  </si>
  <si>
    <t>Traducciones literales (calcos del español)</t>
  </si>
  <si>
    <t>Sin evidencia reciente formal, pero resurgió un caso puntual en Tanda N: "has eighty years old" en vez de "is eighty years old" (el clásico calco de tener años -&gt; has years). Vigilar si se repite.</t>
  </si>
  <si>
    <t>Sujeto "it" (clima, tiempo, distancia)</t>
  </si>
  <si>
    <t>CONFIRMADA (4 rondas seguidas &gt;=80%: E,G,I,J). Mantenimiento mínimo.</t>
  </si>
  <si>
    <t>For + período / During + evento</t>
  </si>
  <si>
    <t>Already / Yet / Just</t>
  </si>
  <si>
    <t>2 rondas &gt;=80% (D,E); falta reconfirmar. Emparentada con 'Presente perfecto+just' pero se deja aparte: cubre también already/yet, no solo just.</t>
  </si>
  <si>
    <t>Since vs For</t>
  </si>
  <si>
    <t>Sin evidencia reciente; falta reconfirmar</t>
  </si>
  <si>
    <t>Orden natural de la oración en inglés</t>
  </si>
  <si>
    <t>Preguntas con presente/pasado perfecto (Have...ever...? / Had...?)</t>
  </si>
  <si>
    <t>CONSOLIDADA: fusiona 'Preguntas con Have you ever...?' y 'Preguntas con Had...?' (misma mecánica de pregunta, distinto tiempo). Tanda E promediada (95 y 55) por venir de ambas filas. CONFIRMADA (3 rondas seguidas &gt;=80%: F,I,J).</t>
  </si>
  <si>
    <t>Diferencia entre "will" y "going to"</t>
  </si>
  <si>
    <t>Primera evaluación real con evidencia sólida (23 ejercicios). 'Will' para decisiones espontáneas: 9/10. 'Going to' con evidencia/planes: más flojo (~60%), 2 casos claros de usar 'will' en vez de 'going to' pese a evidencia visible, autoreconocidos por el usuario en tiempo real ("ya estudié que ahora se usa will", "sigo fallando el going"). Aprendizaje real ocurriendo en la misma tanda.</t>
  </si>
  <si>
    <t>3ra persona singular (-s)</t>
  </si>
  <si>
    <t>Fuerte esta tanda (4/4 válidos, 1 typo de ortografía aparte). Un 5to caso ("He would drive...") se excluye por pedido del usuario: fue contaminación del tema 'would' que se estaba practicando en paralelo, no un fallo real de esta regla.</t>
  </si>
  <si>
    <t>Vocabulario específico</t>
  </si>
  <si>
    <t>Confusiones puntuales tipo falso amigo: advice/advance, correct/truth, missing/gone</t>
  </si>
  <si>
    <t>Need to + infinitivo</t>
  </si>
  <si>
    <t>Presente perfecto: have/has/had + participio (incluye "just": acaba de/acababa de)</t>
  </si>
  <si>
    <t>CONSOLIDADA: fusiona 'Have/Has/Had (aux)' + 'Have just/Had just' + 'Expresiones con acaba de/acababa de' (las tres testean la misma construcción: presente/pasado perfecto, con o sin 'just').</t>
  </si>
  <si>
    <t>Past Perfect</t>
  </si>
  <si>
    <t>Past Perfect Continuous</t>
  </si>
  <si>
    <t>CERRADA a pedido del usuario (02-sep-2026): 10/10 en traduccion (con typos menores sin importancia) y 9/10 en completar. Excelente resultado en su primera introduccion real. Se retira de la rotacion.</t>
  </si>
  <si>
    <t>Future Perfect Continuous</t>
  </si>
  <si>
    <t>Voz pasiva (presente y con modales)</t>
  </si>
  <si>
    <t>CONSOLIDADA: fusiona 'Voz pasiva' con la regla nueva B2 'Voz pasiva con modales' (misma construcción base, con complejidad extra de modal).</t>
  </si>
  <si>
    <t>Get + adjetivo (cambios de estado: get worried, se puso...)</t>
  </si>
  <si>
    <t>CONSOLIDADA: fusiona 'Get/Got/Get+adjective' con 'Expresiones con se puso... (get+adjective)', que eran la misma regla con nombres distintos. Uso nuevo sin dominar del todo: "getting dark" para cambios graduales.</t>
  </si>
  <si>
    <t>Bring / Brought</t>
  </si>
  <si>
    <t>Media, volátil; verbo casi siempre bien, falla lo de alrededor || Excelente: 10/10 en traducción + 11/11 en completar, cero errores de tiempo verbal (solo vocabulario/tipeo). El verbo ya está total y consistentemente dominado.</t>
  </si>
  <si>
    <t>Give / Gave / Given</t>
  </si>
  <si>
    <t>Gran salto esta tanda: 9/10 en traducción + 5/5 en completar. Construcción "gave X to person" ya muy sólida</t>
  </si>
  <si>
    <t>Modales de posibilidad/deducción (there might be, must/might/can't + be)</t>
  </si>
  <si>
    <t>CONSOLIDADA: fusiona 'There might be/There could be' con la regla nueva B2 'Modales de deducción (must/might/can't+be)' - ambas expresan posibilidad/deducción.</t>
  </si>
  <si>
    <t>Still + hope</t>
  </si>
  <si>
    <t>CERRADA a 80% por decisión explícita del usuario (04-sep-2026), pese a que la fórmula daba 62.5% - el usuario considera que la omisión de -s es un problema general que se resuelve con la práctica del resto del temario, no insistiendo en esta regla puntual. 80% no significa abandonada: el plan es 1) subirla a 100% más adelante en una ronda dedicada, 2) luego reiniciar TODO el listado a 0% para empezar 'escritura inversa' (escribir en español el significado de una frase en inglés), y 3) cuando esa escritura inversa llegue a 60%, enfocar el esfuerzo en comprensión auditiva.</t>
  </si>
  <si>
    <t>Contables vs incontables (few/little, less/fewer, much/many)</t>
  </si>
  <si>
    <t>CONSOLIDADA: fusiona 'Contables vs incontables' + 'Few vs Little' + 'Less vs Fewer' - las tres son la misma discriminación contable/incontable con distintas parejas de palabras.</t>
  </si>
  <si>
    <t>Gone vs Left</t>
  </si>
  <si>
    <t>El usuario fija 85% (03-sep-2026). Evidencia Tanda M: 9/10 en completar, y en traducción libre el único fallo real fue el modismo fijo "gone on a trip" (dijo "gone to travel"). OJO - DETECTADO PROBLEMA DE DISEÑO: 2 frases en español usaron pretérito simple ("salió", "abandonó") pero el inglés esperaba presente perfecto ("has left") - la misma ambigüedad que ya se había corregido antes, se coló de nuevo en 2 frases nuevas. Corregir en la próxima tanda de esta regla.</t>
  </si>
  <si>
    <t>Half of</t>
  </si>
  <si>
    <t>Oraciones con "by" para tiempo futuro</t>
  </si>
  <si>
    <t>Modales básicos (can, could, should, must, will, would, used to + verbo)</t>
  </si>
  <si>
    <t>CONSOLIDADA. Gran mejora en Tanda M (03-sep-2026), ya con el diseño correcto (el modal como espacio en blanco): ~90% en traducción libre. El usuario confirma sentirlo dominado. Quedan 2 matices puntuales para vigilar: (1) after 'can/must/should/will' el verbo va siempre en base, sin -s (auto-detectado y corregido por el usuario en tiempo real dentro de la misma tanda); (2) 'should' vs 'must' para distinguir sugerencia de obligación.</t>
  </si>
  <si>
    <t>Cláusulas relativas (who/which/that, incluyendo explicativas con comas)</t>
  </si>
  <si>
    <t>CONSOLIDADA. Elección del pronombre (who/that/which) muy sólida (~90%+, incluso "that" para personas, aceptable coloquialmente). El punto débil real es la puntuación: en la explicativa con comas puso solo la primera coma y olvidó la segunda ("who lives in Spain will visit" en vez de "who lives in Spain, will visit"). El usuario disfrutó mucho este tipo de ejercicio y pidió explícitamente más frases con cláusulas explicativas (persona, comas) para la próxima ronda.</t>
  </si>
  <si>
    <t>because of / because</t>
  </si>
  <si>
    <t>(put, try, get, trying, take, lie) + (down, off, on)</t>
  </si>
  <si>
    <t>Sustantivos compuestos (compound nouns)</t>
  </si>
  <si>
    <t>Expresiones de tiempo con over</t>
  </si>
  <si>
    <t>Make vs Do</t>
  </si>
  <si>
    <t>El usuario fija 85% (02-sep-2026). Corregir de Tanda L: 1 fallo inicial (repitio el error mostrado) resuelto en retry. Sigue en rotacion normal.</t>
  </si>
  <si>
    <t>Too vs Very</t>
  </si>
  <si>
    <t>El usuario fija 90% (03-sep-2026), bien respaldado: 5/5 en traducción + 5/5 en completar en la elección too/very. Los únicos fallos fueron en preposiciones (tema pausado) y un verbo mal elegido, ajenos a esta regla.</t>
  </si>
  <si>
    <t>Bad vs Badly</t>
  </si>
  <si>
    <t>Uso básico de "as" = como</t>
  </si>
  <si>
    <t>Uso de "when / while"</t>
  </si>
  <si>
    <t>CONFIRMADA/DOMINADA a pedido del usuario (02-sep-2026): 1/2 en traduccion (con un desliz de "were" autoreconocido) + 6/6 en completar. Se retira de la rotacion activa.</t>
  </si>
  <si>
    <t>Future Continuous</t>
  </si>
  <si>
    <t>Comparativos y superlativos</t>
  </si>
  <si>
    <t>Expresiones con "some / any / no" (incluye something/anything/nothing)</t>
  </si>
  <si>
    <t>17/20 en completar. Patrón real identificado: confunde el cuantificador simple (any/some) con su forma pronombre (anything/something) cuando va SOLO como objeto ("I don't want any to eat" en vez de "anything"). También detectado: 1 frase en español ("No quedan boletos") no tenía pista clara de cuál cuantificador usar - mejorar claridad en la próxima tanda.</t>
  </si>
  <si>
    <t>Uso de "have" simple vs contracción "'ve" con cantidades/posesión</t>
  </si>
  <si>
    <t>RESUELTA. Confirmada, ya no se practica activamente. (No se fusiona con el bloque de presente perfecto: es un uso distinto de have, posesión, no auxiliar.)</t>
  </si>
  <si>
    <t>Primer condicional (if + presente, will/won't + infinitivo)</t>
  </si>
  <si>
    <t>Gran salto en Tanda M (03-sep-2026): ~13/15 en traducción libre + 9/10 en completar, tras la lección diagnóstica. Quedan 2 puntos sueltos: "will" vs "would" en el resultado (1 vez, explicada como error de lectura) y una construcción rara con "it's doesn't" (redundancia de 'it's' + 'doesn't').</t>
  </si>
  <si>
    <t>Segundo condicional (if + pasado, would + infinitivo)</t>
  </si>
  <si>
    <t>Corregido tras revisión completa: 4/5 en traducción + ~20/20 en completar. Muy buen nivel. Hallazgo real: confunde "were" (ser/estar hipotético) con "had" (tener/poseer hipotético).</t>
  </si>
  <si>
    <t>Pronombre objeto tras preposición (him/her/them, no he/she/they)</t>
  </si>
  <si>
    <t>GRAN SALTO: 10/10 correcto esta tanda (antes 20-45%). Probablemente ya asentada, confirmar con 1-2 rondas más antes de retirar.</t>
  </si>
  <si>
    <t>Verbos make/let/help + objeto + infinitivo (sin 'to')</t>
  </si>
  <si>
    <t>Detectada, sin practicar aún ("made me to understand", "let him to go")</t>
  </si>
  <si>
    <t>Estilo indirecto básico (reported speech)</t>
  </si>
  <si>
    <t>Sin usar todavía</t>
  </si>
  <si>
    <t>Wish + pasado simple</t>
  </si>
  <si>
    <t>Conectores formales (however, although, despite, moreover)</t>
  </si>
  <si>
    <t>Phrasal verbs de nivel B2 (give up, look forward to, run into, get along)</t>
  </si>
  <si>
    <t>Sin usar todavía (se deja aparte de la familia 'look' básica: son vocabulario/nivel distinto)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</si>
</sst>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charset val="1"/>
    </font>
    <font>
      <b/>
      <sz val="10"/>
      <color rgb="FFFFFFFF"/>
      <name val="Arial"/>
      <charset val="1"/>
    </font>
    <font>
      <sz val="10"/>
      <name val="Arial"/>
      <charset val="1"/>
    </font>
    <font>
      <b/>
      <sz val="10"/>
      <name val="Arial"/>
      <charset val="1"/>
    </font>
    <font>
      <i/>
      <sz val="9"/>
      <color rgb="FF666666"/>
      <name val="Arial"/>
      <charset val="1"/>
    </font>
  </fonts>
  <fills count="6">
    <fill>
      <patternFill patternType="none"/>
    </fill>
    <fill>
      <patternFill patternType="gray125"/>
    </fill>
    <fill>
      <patternFill patternType="solid">
        <fgColor rgb="FF2F5496"/>
        <bgColor rgb="FF0066CC"/>
      </patternFill>
    </fill>
    <fill>
      <patternFill patternType="solid">
        <fgColor rgb="FFDDEBF7"/>
        <bgColor rgb="FFD9EAD3"/>
      </patternFill>
    </fill>
    <fill>
      <patternFill patternType="solid">
        <fgColor rgb="FFD9D9D9"/>
        <bgColor rgb="FFD9EAD3"/>
      </patternFill>
    </fill>
    <fill>
      <patternFill patternType="solid">
        <fgColor rgb="FFD9EAD3"/>
        <bgColor rgb="FFDDEBF7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0" borderId="1" xfId="0" applyFont="1" applyBorder="1"/>
    <xf numFmtId="0" fontId="2" fillId="0" borderId="1" xfId="0" applyFont="1" applyBorder="1" applyAlignment="1">
      <alignment horizontal="center"/>
    </xf>
    <xf numFmtId="9" fontId="2" fillId="0" borderId="1" xfId="0" applyNumberFormat="1" applyFont="1" applyBorder="1" applyAlignment="1">
      <alignment horizontal="center"/>
    </xf>
    <xf numFmtId="9" fontId="3" fillId="0" borderId="1" xfId="0" applyNumberFormat="1" applyFont="1" applyBorder="1" applyAlignment="1">
      <alignment horizontal="center"/>
    </xf>
    <xf numFmtId="0" fontId="4" fillId="0" borderId="1" xfId="0" applyFont="1" applyBorder="1" applyAlignment="1">
      <alignment horizontal="left" wrapText="1"/>
    </xf>
    <xf numFmtId="0" fontId="2" fillId="3" borderId="1" xfId="0" applyFont="1" applyFill="1" applyBorder="1"/>
    <xf numFmtId="0" fontId="2" fillId="3" borderId="1" xfId="0" applyFont="1" applyFill="1" applyBorder="1" applyAlignment="1">
      <alignment horizontal="center"/>
    </xf>
    <xf numFmtId="9" fontId="3" fillId="3" borderId="1" xfId="0" applyNumberFormat="1" applyFont="1" applyFill="1" applyBorder="1" applyAlignment="1">
      <alignment horizontal="center"/>
    </xf>
    <xf numFmtId="9" fontId="2" fillId="3" borderId="1" xfId="0" applyNumberFormat="1" applyFont="1" applyFill="1" applyBorder="1" applyAlignment="1">
      <alignment horizontal="center"/>
    </xf>
    <xf numFmtId="0" fontId="4" fillId="3" borderId="1" xfId="0" applyFont="1" applyFill="1" applyBorder="1" applyAlignment="1">
      <alignment horizontal="left" wrapText="1"/>
    </xf>
    <xf numFmtId="0" fontId="2" fillId="4" borderId="1" xfId="0" applyFont="1" applyFill="1" applyBorder="1"/>
    <xf numFmtId="0" fontId="2" fillId="4" borderId="1" xfId="0" applyFont="1" applyFill="1" applyBorder="1" applyAlignment="1">
      <alignment horizontal="center"/>
    </xf>
    <xf numFmtId="9" fontId="2" fillId="4" borderId="1" xfId="0" applyNumberFormat="1" applyFont="1" applyFill="1" applyBorder="1" applyAlignment="1">
      <alignment horizontal="center"/>
    </xf>
    <xf numFmtId="9" fontId="3" fillId="4" borderId="1" xfId="0" applyNumberFormat="1" applyFont="1" applyFill="1" applyBorder="1" applyAlignment="1">
      <alignment horizontal="center"/>
    </xf>
    <xf numFmtId="0" fontId="4" fillId="4" borderId="1" xfId="0" applyFont="1" applyFill="1" applyBorder="1" applyAlignment="1">
      <alignment horizontal="left" wrapText="1"/>
    </xf>
    <xf numFmtId="0" fontId="2" fillId="5" borderId="1" xfId="0" applyFont="1" applyFill="1" applyBorder="1"/>
    <xf numFmtId="0" fontId="2" fillId="5" borderId="1" xfId="0" applyFont="1" applyFill="1" applyBorder="1" applyAlignment="1">
      <alignment horizontal="center"/>
    </xf>
    <xf numFmtId="9" fontId="2" fillId="5" borderId="1" xfId="0" applyNumberFormat="1" applyFont="1" applyFill="1" applyBorder="1" applyAlignment="1">
      <alignment horizontal="center"/>
    </xf>
    <xf numFmtId="9" fontId="3" fillId="5" borderId="1" xfId="0" applyNumberFormat="1" applyFont="1" applyFill="1" applyBorder="1" applyAlignment="1">
      <alignment horizontal="center"/>
    </xf>
    <xf numFmtId="0" fontId="4" fillId="5" borderId="1" xfId="0" applyFont="1" applyFill="1" applyBorder="1" applyAlignment="1">
      <alignment horizontal="left" wrapText="1"/>
    </xf>
    <xf numFmtId="0" fontId="3" fillId="0" borderId="1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DD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9EAD3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2F5496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59"/>
  <sheetViews>
    <sheetView tabSelected="1" zoomScaleNormal="100" workbookViewId="0">
      <pane ySplit="1" topLeftCell="A2" activePane="bottomLeft" state="frozen"/>
      <selection pane="bottomLeft" activeCell="A33" sqref="A33:A59"/>
    </sheetView>
  </sheetViews>
  <sheetFormatPr baseColWidth="10" defaultColWidth="8.6640625" defaultRowHeight="14.4" x14ac:dyDescent="0.3"/>
  <cols>
    <col min="1" max="1" width="58" customWidth="1"/>
    <col min="2" max="2" width="8" customWidth="1"/>
    <col min="3" max="3" width="13" customWidth="1"/>
    <col min="4" max="4" width="11" customWidth="1"/>
    <col min="5" max="6" width="10" customWidth="1"/>
    <col min="7" max="7" width="9" customWidth="1"/>
    <col min="8" max="8" width="70" customWidth="1"/>
  </cols>
  <sheetData>
    <row r="1" spans="1:8" ht="24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ht="58.2" x14ac:dyDescent="0.3">
      <c r="A2" s="2" t="s">
        <v>23</v>
      </c>
      <c r="B2" s="3">
        <v>1</v>
      </c>
      <c r="C2" s="4">
        <v>0.2</v>
      </c>
      <c r="D2" s="4">
        <v>0.86</v>
      </c>
      <c r="E2" s="5">
        <f>IF(AND(C2&lt;&gt;"",D2&lt;&gt;""),AVERAGE(C2,D2),IF(C2&lt;&gt;"",C2,""))</f>
        <v>0.53</v>
      </c>
      <c r="F2" s="4">
        <v>0.8</v>
      </c>
      <c r="G2" s="3" t="str">
        <f>IF(E2="","",IF(E2&lt;0.5,"Debil",IF(E2&lt;0.8,"Media","Fuerte")))</f>
        <v>Media</v>
      </c>
      <c r="H2" s="6" t="s">
        <v>24</v>
      </c>
    </row>
    <row r="3" spans="1:8" ht="24" x14ac:dyDescent="0.3">
      <c r="A3" s="2" t="s">
        <v>92</v>
      </c>
      <c r="B3" s="3">
        <v>2</v>
      </c>
      <c r="C3" s="4">
        <v>0.2</v>
      </c>
      <c r="D3" s="4">
        <v>0.88</v>
      </c>
      <c r="E3" s="5">
        <f>IF(AND(C3&lt;&gt;"",D3&lt;&gt;""),AVERAGE(C3,D3),IF(C3&lt;&gt;"",C3,""))</f>
        <v>0.54</v>
      </c>
      <c r="F3" s="4">
        <v>0.8</v>
      </c>
      <c r="G3" s="3" t="str">
        <f>IF(E3="","",IF(E3&lt;0.5,"Debil",IF(E3&lt;0.8,"Media","Fuerte")))</f>
        <v>Media</v>
      </c>
      <c r="H3" s="6" t="s">
        <v>93</v>
      </c>
    </row>
    <row r="4" spans="1:8" ht="24" x14ac:dyDescent="0.3">
      <c r="A4" s="2" t="s">
        <v>94</v>
      </c>
      <c r="B4" s="3">
        <v>3</v>
      </c>
      <c r="C4" s="4">
        <v>0.32500000000000001</v>
      </c>
      <c r="D4" s="4">
        <v>0.95</v>
      </c>
      <c r="E4" s="5">
        <f>IF(AND(C4&lt;&gt;"",D4&lt;&gt;""),AVERAGE(C4,D4),IF(C4&lt;&gt;"",C4,""))</f>
        <v>0.63749999999999996</v>
      </c>
      <c r="F4" s="4">
        <v>0.8</v>
      </c>
      <c r="G4" s="3" t="str">
        <f>IF(E4="","",IF(E4&lt;0.5,"Debil",IF(E4&lt;0.8,"Media","Fuerte")))</f>
        <v>Media</v>
      </c>
      <c r="H4" s="6" t="s">
        <v>95</v>
      </c>
    </row>
    <row r="5" spans="1:8" ht="58.2" x14ac:dyDescent="0.3">
      <c r="A5" s="2" t="s">
        <v>37</v>
      </c>
      <c r="B5" s="3">
        <v>1</v>
      </c>
      <c r="C5" s="4">
        <v>0.6</v>
      </c>
      <c r="D5" s="4">
        <v>0.68</v>
      </c>
      <c r="E5" s="5">
        <f>IF(AND(C5&lt;&gt;"",D5&lt;&gt;""),AVERAGE(C5,D5),IF(C5&lt;&gt;"",C5,""))</f>
        <v>0.64</v>
      </c>
      <c r="F5" s="4">
        <v>0.8</v>
      </c>
      <c r="G5" s="3" t="str">
        <f>IF(E5="","",IF(E5&lt;0.5,"Debil",IF(E5&lt;0.8,"Media","Fuerte")))</f>
        <v>Media</v>
      </c>
      <c r="H5" s="6" t="s">
        <v>38</v>
      </c>
    </row>
    <row r="6" spans="1:8" ht="35.4" x14ac:dyDescent="0.3">
      <c r="A6" s="12" t="s">
        <v>15</v>
      </c>
      <c r="B6" s="13">
        <v>1</v>
      </c>
      <c r="C6" s="14">
        <v>0.7</v>
      </c>
      <c r="D6" s="14">
        <v>0.65</v>
      </c>
      <c r="E6" s="15">
        <f>IF(AND(C6&lt;&gt;"",D6&lt;&gt;""),AVERAGE(C6,D6),IF(C6&lt;&gt;"",C6,""))</f>
        <v>0.67500000000000004</v>
      </c>
      <c r="F6" s="14">
        <v>0.8</v>
      </c>
      <c r="G6" s="13" t="str">
        <f>IF(E6="","",IF(E6&lt;0.5,"Debil",IF(E6&lt;0.8,"Media","Fuerte")))</f>
        <v>Media</v>
      </c>
      <c r="H6" s="16" t="s">
        <v>16</v>
      </c>
    </row>
    <row r="7" spans="1:8" ht="69.599999999999994" x14ac:dyDescent="0.3">
      <c r="A7" s="7" t="s">
        <v>70</v>
      </c>
      <c r="B7" s="8">
        <v>1</v>
      </c>
      <c r="C7" s="10">
        <v>0.6</v>
      </c>
      <c r="D7" s="10">
        <v>0.75</v>
      </c>
      <c r="E7" s="9">
        <f>IF(AND(C7&lt;&gt;"",D7&lt;&gt;""),AVERAGE(C7,D7),IF(C7&lt;&gt;"",C7,""))</f>
        <v>0.67500000000000004</v>
      </c>
      <c r="F7" s="10">
        <v>0.8</v>
      </c>
      <c r="G7" s="8" t="str">
        <f>IF(E7="","",IF(E7&lt;0.5,"Debil",IF(E7&lt;0.8,"Media","Fuerte")))</f>
        <v>Media</v>
      </c>
      <c r="H7" s="11" t="s">
        <v>71</v>
      </c>
    </row>
    <row r="8" spans="1:8" ht="46.8" x14ac:dyDescent="0.3">
      <c r="A8" s="2" t="s">
        <v>90</v>
      </c>
      <c r="B8" s="3">
        <v>4</v>
      </c>
      <c r="C8" s="4">
        <v>0.51500000000000001</v>
      </c>
      <c r="D8" s="4">
        <v>0.87</v>
      </c>
      <c r="E8" s="5">
        <f>IF(AND(C8&lt;&gt;"",D8&lt;&gt;""),AVERAGE(C8,D8),IF(C8&lt;&gt;"",C8,""))</f>
        <v>0.6925</v>
      </c>
      <c r="F8" s="4">
        <v>0.8</v>
      </c>
      <c r="G8" s="3" t="str">
        <f>IF(E8="","",IF(E8&lt;0.5,"Debil",IF(E8&lt;0.8,"Media","Fuerte")))</f>
        <v>Media</v>
      </c>
      <c r="H8" s="6" t="s">
        <v>91</v>
      </c>
    </row>
    <row r="9" spans="1:8" ht="35.4" x14ac:dyDescent="0.3">
      <c r="A9" s="7" t="s">
        <v>44</v>
      </c>
      <c r="B9" s="8">
        <v>5</v>
      </c>
      <c r="C9" s="10">
        <v>0.64500000000000002</v>
      </c>
      <c r="D9" s="10">
        <v>0.75</v>
      </c>
      <c r="E9" s="9">
        <f>IF(AND(C9&lt;&gt;"",D9&lt;&gt;""),AVERAGE(C9,D9),IF(C9&lt;&gt;"",C9,""))</f>
        <v>0.69750000000000001</v>
      </c>
      <c r="F9" s="10">
        <v>0.8</v>
      </c>
      <c r="G9" s="8" t="str">
        <f>IF(E9="","",IF(E9&lt;0.5,"Debil",IF(E9&lt;0.8,"Media","Fuerte")))</f>
        <v>Media</v>
      </c>
      <c r="H9" s="11" t="s">
        <v>45</v>
      </c>
    </row>
    <row r="10" spans="1:8" ht="46.8" x14ac:dyDescent="0.3">
      <c r="A10" s="2" t="s">
        <v>86</v>
      </c>
      <c r="B10" s="3">
        <v>1</v>
      </c>
      <c r="C10" s="4">
        <v>0.55000000000000004</v>
      </c>
      <c r="D10" s="4">
        <v>0.85</v>
      </c>
      <c r="E10" s="5">
        <f>IF(AND(C10&lt;&gt;"",D10&lt;&gt;""),AVERAGE(C10,D10),IF(C10&lt;&gt;"",C10,""))</f>
        <v>0.7</v>
      </c>
      <c r="F10" s="4">
        <v>0.8</v>
      </c>
      <c r="G10" s="3" t="str">
        <f>IF(E10="","",IF(E10&lt;0.5,"Debil",IF(E10&lt;0.8,"Media","Fuerte")))</f>
        <v>Media</v>
      </c>
      <c r="H10" s="6" t="s">
        <v>87</v>
      </c>
    </row>
    <row r="11" spans="1:8" ht="58.2" x14ac:dyDescent="0.3">
      <c r="A11" s="7" t="s">
        <v>68</v>
      </c>
      <c r="B11" s="8">
        <v>2</v>
      </c>
      <c r="C11" s="10">
        <v>0.51</v>
      </c>
      <c r="D11" s="10">
        <v>0.9</v>
      </c>
      <c r="E11" s="9">
        <f>IF(AND(C11&lt;&gt;"",D11&lt;&gt;""),AVERAGE(C11,D11),IF(C11&lt;&gt;"",C11,""))</f>
        <v>0.70500000000000007</v>
      </c>
      <c r="F11" s="10">
        <v>0.8</v>
      </c>
      <c r="G11" s="8" t="str">
        <f>IF(E11="","",IF(E11&lt;0.5,"Debil",IF(E11&lt;0.8,"Media","Fuerte")))</f>
        <v>Media</v>
      </c>
      <c r="H11" s="11" t="s">
        <v>69</v>
      </c>
    </row>
    <row r="12" spans="1:8" ht="35.4" x14ac:dyDescent="0.3">
      <c r="A12" s="17" t="s">
        <v>47</v>
      </c>
      <c r="B12" s="18">
        <v>1</v>
      </c>
      <c r="C12" s="19">
        <v>0.5</v>
      </c>
      <c r="D12" s="19">
        <v>1</v>
      </c>
      <c r="E12" s="20">
        <f>IF(AND(C12&lt;&gt;"",D12&lt;&gt;""),AVERAGE(C12,D12),IF(C12&lt;&gt;"",C12,""))</f>
        <v>0.75</v>
      </c>
      <c r="F12" s="19">
        <v>0.8</v>
      </c>
      <c r="G12" s="18" t="str">
        <f>IF(E12="","",IF(E12&lt;0.5,"Debil",IF(E12&lt;0.8,"Media","Fuerte")))</f>
        <v>Media</v>
      </c>
      <c r="H12" s="21" t="s">
        <v>48</v>
      </c>
    </row>
    <row r="13" spans="1:8" ht="35.4" x14ac:dyDescent="0.3">
      <c r="A13" s="2" t="s">
        <v>25</v>
      </c>
      <c r="B13" s="3">
        <v>4</v>
      </c>
      <c r="C13" s="4">
        <v>0.61875000000000002</v>
      </c>
      <c r="D13" s="4">
        <v>0.9</v>
      </c>
      <c r="E13" s="5">
        <f>IF(AND(C13&lt;&gt;"",D13&lt;&gt;""),AVERAGE(C13,D13),IF(C13&lt;&gt;"",C13,""))</f>
        <v>0.75937500000000002</v>
      </c>
      <c r="F13" s="4">
        <v>0.8</v>
      </c>
      <c r="G13" s="3" t="str">
        <f>IF(E13="","",IF(E13&lt;0.5,"Debil",IF(E13&lt;0.8,"Media","Fuerte")))</f>
        <v>Media</v>
      </c>
      <c r="H13" s="6" t="s">
        <v>26</v>
      </c>
    </row>
    <row r="14" spans="1:8" ht="35.4" x14ac:dyDescent="0.3">
      <c r="A14" s="2" t="s">
        <v>8</v>
      </c>
      <c r="B14" s="3">
        <v>2</v>
      </c>
      <c r="C14" s="4">
        <v>0.75</v>
      </c>
      <c r="D14" s="4">
        <v>0.78</v>
      </c>
      <c r="E14" s="5">
        <f>IF(AND(C14&lt;&gt;"",D14&lt;&gt;""),AVERAGE(C14,D14),IF(C14&lt;&gt;"",C14,""))</f>
        <v>0.76500000000000001</v>
      </c>
      <c r="F14" s="4">
        <v>0.8</v>
      </c>
      <c r="G14" s="3" t="str">
        <f>IF(E14="","",IF(E14&lt;0.5,"Debil",IF(E14&lt;0.8,"Media","Fuerte")))</f>
        <v>Media</v>
      </c>
      <c r="H14" s="6" t="s">
        <v>9</v>
      </c>
    </row>
    <row r="15" spans="1:8" ht="24" x14ac:dyDescent="0.3">
      <c r="A15" s="2" t="s">
        <v>76</v>
      </c>
      <c r="B15" s="3">
        <v>1</v>
      </c>
      <c r="C15" s="4">
        <v>0.68</v>
      </c>
      <c r="D15" s="4">
        <v>0.85</v>
      </c>
      <c r="E15" s="5">
        <f>IF(AND(C15&lt;&gt;"",D15&lt;&gt;""),AVERAGE(C15,D15),IF(C15&lt;&gt;"",C15,""))</f>
        <v>0.76500000000000001</v>
      </c>
      <c r="F15" s="4">
        <v>0.8</v>
      </c>
      <c r="G15" s="3" t="str">
        <f>IF(E15="","",IF(E15&lt;0.5,"Debil",IF(E15&lt;0.8,"Media","Fuerte")))</f>
        <v>Media</v>
      </c>
      <c r="H15" s="6" t="s">
        <v>77</v>
      </c>
    </row>
    <row r="16" spans="1:8" ht="69.599999999999994" x14ac:dyDescent="0.3">
      <c r="A16" s="2" t="s">
        <v>64</v>
      </c>
      <c r="B16" s="3">
        <v>10</v>
      </c>
      <c r="C16" s="4">
        <v>0.69341796874999995</v>
      </c>
      <c r="D16" s="4">
        <v>0.85</v>
      </c>
      <c r="E16" s="5">
        <f>IF(AND(C16&lt;&gt;"",D16&lt;&gt;""),AVERAGE(C16,D16),IF(C16&lt;&gt;"",C16,""))</f>
        <v>0.77170898437500002</v>
      </c>
      <c r="F16" s="4">
        <v>0.8</v>
      </c>
      <c r="G16" s="3" t="str">
        <f>IF(E16="","",IF(E16&lt;0.5,"Debil",IF(E16&lt;0.8,"Media","Fuerte")))</f>
        <v>Media</v>
      </c>
      <c r="H16" s="6" t="s">
        <v>65</v>
      </c>
    </row>
    <row r="17" spans="1:8" ht="35.4" x14ac:dyDescent="0.3">
      <c r="A17" s="2" t="s">
        <v>39</v>
      </c>
      <c r="B17" s="3">
        <v>4</v>
      </c>
      <c r="C17" s="4">
        <v>0.66249999999999998</v>
      </c>
      <c r="D17" s="4">
        <v>0.9</v>
      </c>
      <c r="E17" s="5">
        <f>IF(AND(C17&lt;&gt;"",D17&lt;&gt;""),AVERAGE(C17,D17),IF(C17&lt;&gt;"",C17,""))</f>
        <v>0.78125</v>
      </c>
      <c r="F17" s="4">
        <v>0.8</v>
      </c>
      <c r="G17" s="3" t="str">
        <f>IF(E17="","",IF(E17&lt;0.5,"Debil",IF(E17&lt;0.8,"Media","Fuerte")))</f>
        <v>Media</v>
      </c>
      <c r="H17" s="6" t="s">
        <v>40</v>
      </c>
    </row>
    <row r="18" spans="1:8" ht="24" x14ac:dyDescent="0.3">
      <c r="A18" s="2" t="s">
        <v>56</v>
      </c>
      <c r="B18" s="3">
        <v>8</v>
      </c>
      <c r="C18" s="4">
        <v>0.66484374999999996</v>
      </c>
      <c r="D18" s="4">
        <v>0.93</v>
      </c>
      <c r="E18" s="5">
        <f>IF(AND(C18&lt;&gt;"",D18&lt;&gt;""),AVERAGE(C18,D18),IF(C18&lt;&gt;"",C18,""))</f>
        <v>0.79742187499999995</v>
      </c>
      <c r="F18" s="4">
        <v>0.8</v>
      </c>
      <c r="G18" s="3" t="str">
        <f>IF(E18="","",IF(E18&lt;0.5,"Debil",IF(E18&lt;0.8,"Media","Fuerte")))</f>
        <v>Media</v>
      </c>
      <c r="H18" s="6" t="s">
        <v>57</v>
      </c>
    </row>
    <row r="19" spans="1:8" ht="81" x14ac:dyDescent="0.3">
      <c r="A19" s="2" t="s">
        <v>60</v>
      </c>
      <c r="B19" s="3">
        <v>3</v>
      </c>
      <c r="C19" s="4">
        <v>0.75</v>
      </c>
      <c r="D19" s="4">
        <v>0.5</v>
      </c>
      <c r="E19" s="5">
        <v>0.8</v>
      </c>
      <c r="F19" s="4">
        <v>0.8</v>
      </c>
      <c r="G19" s="3" t="str">
        <f>IF(E19="","",IF(E19&lt;0.5,"Debil",IF(E19&lt;0.8,"Media","Fuerte")))</f>
        <v>Fuerte</v>
      </c>
      <c r="H19" s="6" t="s">
        <v>61</v>
      </c>
    </row>
    <row r="20" spans="1:8" ht="35.4" x14ac:dyDescent="0.3">
      <c r="A20" s="2" t="s">
        <v>78</v>
      </c>
      <c r="B20" s="3">
        <v>1</v>
      </c>
      <c r="C20" s="4">
        <v>0.7</v>
      </c>
      <c r="D20" s="4">
        <v>0.9</v>
      </c>
      <c r="E20" s="5">
        <f>IF(AND(C20&lt;&gt;"",D20&lt;&gt;""),AVERAGE(C20,D20),IF(C20&lt;&gt;"",C20,""))</f>
        <v>0.8</v>
      </c>
      <c r="F20" s="4">
        <v>0.8</v>
      </c>
      <c r="G20" s="3" t="str">
        <f>IF(E20="","",IF(E20&lt;0.5,"Debil",IF(E20&lt;0.8,"Media","Fuerte")))</f>
        <v>Fuerte</v>
      </c>
      <c r="H20" s="6" t="s">
        <v>79</v>
      </c>
    </row>
    <row r="21" spans="1:8" ht="35.4" x14ac:dyDescent="0.3">
      <c r="A21" s="2" t="s">
        <v>54</v>
      </c>
      <c r="B21" s="3">
        <v>6</v>
      </c>
      <c r="C21" s="4">
        <v>0.66093749999999996</v>
      </c>
      <c r="D21" s="4">
        <v>0.97</v>
      </c>
      <c r="E21" s="5">
        <f>IF(AND(C21&lt;&gt;"",D21&lt;&gt;""),AVERAGE(C21,D21),IF(C21&lt;&gt;"",C21,""))</f>
        <v>0.81546874999999996</v>
      </c>
      <c r="F21" s="4">
        <v>0.8</v>
      </c>
      <c r="G21" s="3" t="str">
        <f>IF(E21="","",IF(E21&lt;0.5,"Debil",IF(E21&lt;0.8,"Media","Fuerte")))</f>
        <v>Fuerte</v>
      </c>
      <c r="H21" s="6" t="s">
        <v>55</v>
      </c>
    </row>
    <row r="22" spans="1:8" ht="35.4" x14ac:dyDescent="0.3">
      <c r="A22" s="7" t="s">
        <v>20</v>
      </c>
      <c r="B22" s="8">
        <v>3</v>
      </c>
      <c r="C22" s="10">
        <v>0.73499999999999999</v>
      </c>
      <c r="D22" s="10">
        <v>0.95</v>
      </c>
      <c r="E22" s="9">
        <f>IF(AND(C22&lt;&gt;"",D22&lt;&gt;""),AVERAGE(C22,D22),IF(C22&lt;&gt;"",C22,""))</f>
        <v>0.84250000000000003</v>
      </c>
      <c r="F22" s="10">
        <v>0.8</v>
      </c>
      <c r="G22" s="8" t="str">
        <f>IF(E22="","",IF(E22&lt;0.5,"Debil",IF(E22&lt;0.8,"Media","Fuerte")))</f>
        <v>Fuerte</v>
      </c>
      <c r="H22" s="11" t="s">
        <v>21</v>
      </c>
    </row>
    <row r="23" spans="1:8" ht="24" x14ac:dyDescent="0.3">
      <c r="A23" s="17" t="s">
        <v>17</v>
      </c>
      <c r="B23" s="18">
        <v>6</v>
      </c>
      <c r="C23" s="19">
        <v>0.75937500000000002</v>
      </c>
      <c r="D23" s="19">
        <v>0.95</v>
      </c>
      <c r="E23" s="20">
        <f>IF(AND(C23&lt;&gt;"",D23&lt;&gt;""),AVERAGE(C23,D23),IF(C23&lt;&gt;"",C23,""))</f>
        <v>0.85468750000000004</v>
      </c>
      <c r="F23" s="19">
        <v>0.8</v>
      </c>
      <c r="G23" s="18" t="str">
        <f>IF(E23="","",IF(E23&lt;0.5,"Debil",IF(E23&lt;0.8,"Media","Fuerte")))</f>
        <v>Fuerte</v>
      </c>
      <c r="H23" s="21" t="s">
        <v>18</v>
      </c>
    </row>
    <row r="24" spans="1:8" ht="24" x14ac:dyDescent="0.3">
      <c r="A24" s="2" t="s">
        <v>30</v>
      </c>
      <c r="B24" s="3">
        <v>3</v>
      </c>
      <c r="C24" s="4">
        <v>0.82499999999999996</v>
      </c>
      <c r="D24" s="4">
        <v>0.9</v>
      </c>
      <c r="E24" s="5">
        <f>IF(AND(C24&lt;&gt;"",D24&lt;&gt;""),AVERAGE(C24,D24),IF(C24&lt;&gt;"",C24,""))</f>
        <v>0.86250000000000004</v>
      </c>
      <c r="F24" s="4">
        <v>0.8</v>
      </c>
      <c r="G24" s="3" t="str">
        <f>IF(E24="","",IF(E24&lt;0.5,"Debil",IF(E24&lt;0.8,"Media","Fuerte")))</f>
        <v>Fuerte</v>
      </c>
      <c r="H24" s="6" t="s">
        <v>31</v>
      </c>
    </row>
    <row r="25" spans="1:8" ht="35.4" x14ac:dyDescent="0.3">
      <c r="A25" s="7" t="s">
        <v>35</v>
      </c>
      <c r="B25" s="8">
        <v>5</v>
      </c>
      <c r="C25" s="10">
        <v>0.828125</v>
      </c>
      <c r="D25" s="10">
        <v>0.9</v>
      </c>
      <c r="E25" s="9">
        <f>IF(AND(C25&lt;&gt;"",D25&lt;&gt;""),AVERAGE(C25,D25),IF(C25&lt;&gt;"",C25,""))</f>
        <v>0.86406249999999996</v>
      </c>
      <c r="F25" s="10">
        <v>0.8</v>
      </c>
      <c r="G25" s="8" t="str">
        <f>IF(E25="","",IF(E25&lt;0.5,"Debil",IF(E25&lt;0.8,"Media","Fuerte")))</f>
        <v>Fuerte</v>
      </c>
      <c r="H25" s="11" t="s">
        <v>36</v>
      </c>
    </row>
    <row r="26" spans="1:8" x14ac:dyDescent="0.3">
      <c r="A26" s="2" t="s">
        <v>27</v>
      </c>
      <c r="B26" s="3">
        <v>6</v>
      </c>
      <c r="C26" s="4">
        <v>0.87093750000000003</v>
      </c>
      <c r="D26" s="4">
        <v>0.9</v>
      </c>
      <c r="E26" s="5">
        <f>IF(AND(C26&lt;&gt;"",D26&lt;&gt;""),AVERAGE(C26,D26),IF(C26&lt;&gt;"",C26,""))</f>
        <v>0.88546875000000003</v>
      </c>
      <c r="F26" s="4">
        <v>0.8</v>
      </c>
      <c r="G26" s="3" t="str">
        <f>IF(E26="","",IF(E26&lt;0.5,"Debil",IF(E26&lt;0.8,"Media","Fuerte")))</f>
        <v>Fuerte</v>
      </c>
      <c r="H26" s="6" t="s">
        <v>28</v>
      </c>
    </row>
    <row r="27" spans="1:8" ht="24" x14ac:dyDescent="0.3">
      <c r="A27" s="17" t="s">
        <v>88</v>
      </c>
      <c r="B27" s="18">
        <v>7</v>
      </c>
      <c r="C27" s="19">
        <v>0.78593749999999996</v>
      </c>
      <c r="D27" s="19">
        <v>1</v>
      </c>
      <c r="E27" s="20">
        <f>IF(AND(C27&lt;&gt;"",D27&lt;&gt;""),AVERAGE(C27,D27),IF(C27&lt;&gt;"",C27,""))</f>
        <v>0.89296874999999998</v>
      </c>
      <c r="F27" s="19">
        <v>0.8</v>
      </c>
      <c r="G27" s="18" t="str">
        <f>IF(E27="","",IF(E27&lt;0.5,"Debil",IF(E27&lt;0.8,"Media","Fuerte")))</f>
        <v>Fuerte</v>
      </c>
      <c r="H27" s="21" t="s">
        <v>89</v>
      </c>
    </row>
    <row r="28" spans="1:8" ht="35.4" x14ac:dyDescent="0.3">
      <c r="A28" s="7" t="s">
        <v>52</v>
      </c>
      <c r="B28" s="8">
        <v>1</v>
      </c>
      <c r="C28" s="10">
        <v>0.85</v>
      </c>
      <c r="D28" s="10">
        <v>0.95</v>
      </c>
      <c r="E28" s="9">
        <f>IF(AND(C28&lt;&gt;"",D28&lt;&gt;""),AVERAGE(C28,D28),IF(C28&lt;&gt;"",C28,""))</f>
        <v>0.89999999999999991</v>
      </c>
      <c r="F28" s="10">
        <v>0.8</v>
      </c>
      <c r="G28" s="8" t="str">
        <f>IF(E28="","",IF(E28&lt;0.5,"Debil",IF(E28&lt;0.8,"Media","Fuerte")))</f>
        <v>Fuerte</v>
      </c>
      <c r="H28" s="11" t="s">
        <v>53</v>
      </c>
    </row>
    <row r="29" spans="1:8" ht="24" x14ac:dyDescent="0.3">
      <c r="A29" s="7" t="s">
        <v>62</v>
      </c>
      <c r="B29" s="8">
        <v>2</v>
      </c>
      <c r="C29" s="10">
        <v>0.90500000000000003</v>
      </c>
      <c r="D29" s="10">
        <v>0.9</v>
      </c>
      <c r="E29" s="9">
        <f>IF(AND(C29&lt;&gt;"",D29&lt;&gt;""),AVERAGE(C29,D29),IF(C29&lt;&gt;"",C29,""))</f>
        <v>0.90250000000000008</v>
      </c>
      <c r="F29" s="10">
        <v>0.8</v>
      </c>
      <c r="G29" s="8" t="str">
        <f>IF(E29="","",IF(E29&lt;0.5,"Debil",IF(E29&lt;0.8,"Media","Fuerte")))</f>
        <v>Fuerte</v>
      </c>
      <c r="H29" s="11" t="s">
        <v>63</v>
      </c>
    </row>
    <row r="30" spans="1:8" ht="24" x14ac:dyDescent="0.3">
      <c r="A30" s="17" t="s">
        <v>82</v>
      </c>
      <c r="B30" s="18">
        <v>2</v>
      </c>
      <c r="C30" s="19">
        <v>0.9</v>
      </c>
      <c r="D30" s="19">
        <v>0.95</v>
      </c>
      <c r="E30" s="20">
        <f>IF(AND(C30&lt;&gt;"",D30&lt;&gt;""),AVERAGE(C30,D30),IF(C30&lt;&gt;"",C30,""))</f>
        <v>0.92500000000000004</v>
      </c>
      <c r="F30" s="19">
        <v>0.8</v>
      </c>
      <c r="G30" s="18" t="str">
        <f>IF(E30="","",IF(E30&lt;0.5,"Debil",IF(E30&lt;0.8,"Media","Fuerte")))</f>
        <v>Fuerte</v>
      </c>
      <c r="H30" s="21" t="s">
        <v>83</v>
      </c>
    </row>
    <row r="31" spans="1:8" x14ac:dyDescent="0.3">
      <c r="A31" s="2" t="s">
        <v>32</v>
      </c>
      <c r="B31" s="3">
        <v>1</v>
      </c>
      <c r="C31" s="4">
        <v>0.9</v>
      </c>
      <c r="D31" s="4">
        <v>1</v>
      </c>
      <c r="E31" s="5">
        <f>IF(AND(C31&lt;&gt;"",D31&lt;&gt;""),AVERAGE(C31,D31),IF(C31&lt;&gt;"",C31,""))</f>
        <v>0.95</v>
      </c>
      <c r="F31" s="4">
        <v>0.8</v>
      </c>
      <c r="G31" s="3" t="str">
        <f>IF(E31="","",IF(E31&lt;0.5,"Debil",IF(E31&lt;0.8,"Media","Fuerte")))</f>
        <v>Fuerte</v>
      </c>
      <c r="H31" s="6" t="s">
        <v>33</v>
      </c>
    </row>
    <row r="32" spans="1:8" x14ac:dyDescent="0.3">
      <c r="A32" s="2" t="s">
        <v>80</v>
      </c>
      <c r="B32" s="3">
        <v>1</v>
      </c>
      <c r="C32" s="4">
        <v>0.9</v>
      </c>
      <c r="D32" s="4">
        <v>1</v>
      </c>
      <c r="E32" s="5">
        <f>IF(AND(C32&lt;&gt;"",D32&lt;&gt;""),AVERAGE(C32,D32),IF(C32&lt;&gt;"",C32,""))</f>
        <v>0.95</v>
      </c>
      <c r="F32" s="4">
        <v>0.8</v>
      </c>
      <c r="G32" s="3" t="str">
        <f>IF(E32="","",IF(E32&lt;0.5,"Debil",IF(E32&lt;0.8,"Media","Fuerte")))</f>
        <v>Fuerte</v>
      </c>
      <c r="H32" s="6" t="s">
        <v>33</v>
      </c>
    </row>
    <row r="33" spans="1:8" x14ac:dyDescent="0.3">
      <c r="A33" s="2" t="s">
        <v>10</v>
      </c>
      <c r="B33" s="3">
        <v>0</v>
      </c>
      <c r="C33" s="3"/>
      <c r="D33" s="3"/>
      <c r="E33" s="5" t="str">
        <f>IF(AND(C33&lt;&gt;"",D33&lt;&gt;""),AVERAGE(C33,D33),IF(C33&lt;&gt;"",C33,""))</f>
        <v/>
      </c>
      <c r="F33" s="4">
        <v>0.8</v>
      </c>
      <c r="G33" s="3" t="str">
        <f>IF(E33="","",IF(E33&lt;0.5,"Debil",IF(E33&lt;0.8,"Media","Fuerte")))</f>
        <v/>
      </c>
      <c r="H33" s="6"/>
    </row>
    <row r="34" spans="1:8" ht="35.4" x14ac:dyDescent="0.3">
      <c r="A34" s="7" t="s">
        <v>11</v>
      </c>
      <c r="B34" s="8">
        <v>0</v>
      </c>
      <c r="C34" s="8"/>
      <c r="D34" s="8"/>
      <c r="E34" s="9" t="str">
        <f>IF(AND(C34&lt;&gt;"",D34&lt;&gt;""),AVERAGE(C34,D34),IF(C34&lt;&gt;"",C34,""))</f>
        <v/>
      </c>
      <c r="F34" s="10">
        <v>0.8</v>
      </c>
      <c r="G34" s="8" t="str">
        <f>IF(E34="","",IF(E34&lt;0.5,"Debil",IF(E34&lt;0.8,"Media","Fuerte")))</f>
        <v/>
      </c>
      <c r="H34" s="11" t="s">
        <v>12</v>
      </c>
    </row>
    <row r="35" spans="1:8" ht="24" x14ac:dyDescent="0.3">
      <c r="A35" s="2" t="s">
        <v>13</v>
      </c>
      <c r="B35" s="3">
        <v>0</v>
      </c>
      <c r="C35" s="3"/>
      <c r="D35" s="3"/>
      <c r="E35" s="5" t="str">
        <f>IF(AND(C35&lt;&gt;"",D35&lt;&gt;""),AVERAGE(C35,D35),IF(C35&lt;&gt;"",C35,""))</f>
        <v/>
      </c>
      <c r="F35" s="4">
        <v>0.8</v>
      </c>
      <c r="G35" s="3" t="str">
        <f>IF(E35="","",IF(E35&lt;0.5,"Debil",IF(E35&lt;0.8,"Media","Fuerte")))</f>
        <v/>
      </c>
      <c r="H35" s="6" t="s">
        <v>14</v>
      </c>
    </row>
    <row r="36" spans="1:8" x14ac:dyDescent="0.3">
      <c r="A36" s="2" t="s">
        <v>19</v>
      </c>
      <c r="B36" s="3">
        <v>0</v>
      </c>
      <c r="C36" s="3"/>
      <c r="D36" s="3"/>
      <c r="E36" s="5" t="str">
        <f>IF(AND(C36&lt;&gt;"",D36&lt;&gt;""),AVERAGE(C36,D36),IF(C36&lt;&gt;"",C36,""))</f>
        <v/>
      </c>
      <c r="F36" s="4">
        <v>0.8</v>
      </c>
      <c r="G36" s="3" t="str">
        <f>IF(E36="","",IF(E36&lt;0.5,"Debil",IF(E36&lt;0.8,"Media","Fuerte")))</f>
        <v/>
      </c>
      <c r="H36" s="6"/>
    </row>
    <row r="37" spans="1:8" x14ac:dyDescent="0.3">
      <c r="A37" s="2" t="s">
        <v>22</v>
      </c>
      <c r="B37" s="3">
        <v>0</v>
      </c>
      <c r="C37" s="3"/>
      <c r="D37" s="3"/>
      <c r="E37" s="5" t="str">
        <f>IF(AND(C37&lt;&gt;"",D37&lt;&gt;""),AVERAGE(C37,D37),IF(C37&lt;&gt;"",C37,""))</f>
        <v/>
      </c>
      <c r="F37" s="4">
        <v>0.8</v>
      </c>
      <c r="G37" s="3" t="str">
        <f>IF(E37="","",IF(E37&lt;0.5,"Debil",IF(E37&lt;0.8,"Media","Fuerte")))</f>
        <v/>
      </c>
      <c r="H37" s="6"/>
    </row>
    <row r="38" spans="1:8" x14ac:dyDescent="0.3">
      <c r="A38" s="2" t="s">
        <v>29</v>
      </c>
      <c r="B38" s="3">
        <v>0</v>
      </c>
      <c r="C38" s="3"/>
      <c r="D38" s="3"/>
      <c r="E38" s="5" t="str">
        <f>IF(AND(C38&lt;&gt;"",D38&lt;&gt;""),AVERAGE(C38,D38),IF(C38&lt;&gt;"",C38,""))</f>
        <v/>
      </c>
      <c r="F38" s="4">
        <v>0.8</v>
      </c>
      <c r="G38" s="3" t="str">
        <f>IF(E38="","",IF(E38&lt;0.5,"Debil",IF(E38&lt;0.8,"Media","Fuerte")))</f>
        <v/>
      </c>
      <c r="H38" s="6"/>
    </row>
    <row r="39" spans="1:8" x14ac:dyDescent="0.3">
      <c r="A39" s="2" t="s">
        <v>34</v>
      </c>
      <c r="B39" s="3">
        <v>0</v>
      </c>
      <c r="C39" s="3"/>
      <c r="D39" s="3"/>
      <c r="E39" s="5" t="str">
        <f>IF(AND(C39&lt;&gt;"",D39&lt;&gt;""),AVERAGE(C39,D39),IF(C39&lt;&gt;"",C39,""))</f>
        <v/>
      </c>
      <c r="F39" s="4">
        <v>0.8</v>
      </c>
      <c r="G39" s="3" t="str">
        <f>IF(E39="","",IF(E39&lt;0.5,"Debil",IF(E39&lt;0.8,"Media","Fuerte")))</f>
        <v/>
      </c>
      <c r="H39" s="6"/>
    </row>
    <row r="40" spans="1:8" x14ac:dyDescent="0.3">
      <c r="A40" s="2" t="s">
        <v>41</v>
      </c>
      <c r="B40" s="3">
        <v>0</v>
      </c>
      <c r="C40" s="3"/>
      <c r="D40" s="3"/>
      <c r="E40" s="5" t="str">
        <f>IF(AND(C40&lt;&gt;"",D40&lt;&gt;""),AVERAGE(C40,D40),IF(C40&lt;&gt;"",C40,""))</f>
        <v/>
      </c>
      <c r="F40" s="4">
        <v>0.8</v>
      </c>
      <c r="G40" s="3" t="str">
        <f>IF(E40="","",IF(E40&lt;0.5,"Debil",IF(E40&lt;0.8,"Media","Fuerte")))</f>
        <v/>
      </c>
      <c r="H40" s="6" t="s">
        <v>42</v>
      </c>
    </row>
    <row r="41" spans="1:8" x14ac:dyDescent="0.3">
      <c r="A41" s="2" t="s">
        <v>43</v>
      </c>
      <c r="B41" s="3">
        <v>0</v>
      </c>
      <c r="C41" s="3"/>
      <c r="D41" s="3"/>
      <c r="E41" s="5" t="str">
        <f>IF(AND(C41&lt;&gt;"",D41&lt;&gt;""),AVERAGE(C41,D41),IF(C41&lt;&gt;"",C41,""))</f>
        <v/>
      </c>
      <c r="F41" s="4">
        <v>0.8</v>
      </c>
      <c r="G41" s="3" t="str">
        <f>IF(E41="","",IF(E41&lt;0.5,"Debil",IF(E41&lt;0.8,"Media","Fuerte")))</f>
        <v/>
      </c>
      <c r="H41" s="6"/>
    </row>
    <row r="42" spans="1:8" x14ac:dyDescent="0.3">
      <c r="A42" s="2" t="s">
        <v>46</v>
      </c>
      <c r="B42" s="3">
        <v>0</v>
      </c>
      <c r="C42" s="3"/>
      <c r="D42" s="3"/>
      <c r="E42" s="5" t="str">
        <f>IF(AND(C42&lt;&gt;"",D42&lt;&gt;""),AVERAGE(C42,D42),IF(C42&lt;&gt;"",C42,""))</f>
        <v/>
      </c>
      <c r="F42" s="4">
        <v>0.8</v>
      </c>
      <c r="G42" s="3" t="str">
        <f>IF(E42="","",IF(E42&lt;0.5,"Debil",IF(E42&lt;0.8,"Media","Fuerte")))</f>
        <v/>
      </c>
      <c r="H42" s="6"/>
    </row>
    <row r="43" spans="1:8" x14ac:dyDescent="0.3">
      <c r="A43" s="2" t="s">
        <v>49</v>
      </c>
      <c r="B43" s="3">
        <v>0</v>
      </c>
      <c r="C43" s="3"/>
      <c r="D43" s="3"/>
      <c r="E43" s="5" t="str">
        <f>IF(AND(C43&lt;&gt;"",D43&lt;&gt;""),AVERAGE(C43,D43),IF(C43&lt;&gt;"",C43,""))</f>
        <v/>
      </c>
      <c r="F43" s="4">
        <v>0.8</v>
      </c>
      <c r="G43" s="3" t="str">
        <f>IF(E43="","",IF(E43&lt;0.5,"Debil",IF(E43&lt;0.8,"Media","Fuerte")))</f>
        <v/>
      </c>
      <c r="H43" s="6"/>
    </row>
    <row r="44" spans="1:8" ht="24" x14ac:dyDescent="0.3">
      <c r="A44" s="7" t="s">
        <v>50</v>
      </c>
      <c r="B44" s="8">
        <v>0</v>
      </c>
      <c r="C44" s="8"/>
      <c r="D44" s="8"/>
      <c r="E44" s="9" t="str">
        <f>IF(AND(C44&lt;&gt;"",D44&lt;&gt;""),AVERAGE(C44,D44),IF(C44&lt;&gt;"",C44,""))</f>
        <v/>
      </c>
      <c r="F44" s="10">
        <v>0.8</v>
      </c>
      <c r="G44" s="8" t="str">
        <f>IF(E44="","",IF(E44&lt;0.5,"Debil",IF(E44&lt;0.8,"Media","Fuerte")))</f>
        <v/>
      </c>
      <c r="H44" s="11" t="s">
        <v>51</v>
      </c>
    </row>
    <row r="45" spans="1:8" ht="24" x14ac:dyDescent="0.3">
      <c r="A45" s="7" t="s">
        <v>58</v>
      </c>
      <c r="B45" s="8">
        <v>0</v>
      </c>
      <c r="C45" s="8"/>
      <c r="D45" s="8"/>
      <c r="E45" s="9" t="str">
        <f>IF(AND(C45&lt;&gt;"",D45&lt;&gt;""),AVERAGE(C45,D45),IF(C45&lt;&gt;"",C45,""))</f>
        <v/>
      </c>
      <c r="F45" s="10">
        <v>0.8</v>
      </c>
      <c r="G45" s="8" t="str">
        <f>IF(E45="","",IF(E45&lt;0.5,"Debil",IF(E45&lt;0.8,"Media","Fuerte")))</f>
        <v/>
      </c>
      <c r="H45" s="11" t="s">
        <v>59</v>
      </c>
    </row>
    <row r="46" spans="1:8" x14ac:dyDescent="0.3">
      <c r="A46" s="2" t="s">
        <v>66</v>
      </c>
      <c r="B46" s="3">
        <v>0</v>
      </c>
      <c r="C46" s="3"/>
      <c r="D46" s="3"/>
      <c r="E46" s="5" t="str">
        <f>IF(AND(C46&lt;&gt;"",D46&lt;&gt;""),AVERAGE(C46,D46),IF(C46&lt;&gt;"",C46,""))</f>
        <v/>
      </c>
      <c r="F46" s="4">
        <v>0.8</v>
      </c>
      <c r="G46" s="3" t="str">
        <f>IF(E46="","",IF(E46&lt;0.5,"Debil",IF(E46&lt;0.8,"Media","Fuerte")))</f>
        <v/>
      </c>
      <c r="H46" s="6"/>
    </row>
    <row r="47" spans="1:8" x14ac:dyDescent="0.3">
      <c r="A47" s="2" t="s">
        <v>67</v>
      </c>
      <c r="B47" s="3">
        <v>0</v>
      </c>
      <c r="C47" s="3"/>
      <c r="D47" s="3"/>
      <c r="E47" s="5" t="str">
        <f>IF(AND(C47&lt;&gt;"",D47&lt;&gt;""),AVERAGE(C47,D47),IF(C47&lt;&gt;"",C47,""))</f>
        <v/>
      </c>
      <c r="F47" s="4">
        <v>0.8</v>
      </c>
      <c r="G47" s="3" t="str">
        <f>IF(E47="","",IF(E47&lt;0.5,"Debil",IF(E47&lt;0.8,"Media","Fuerte")))</f>
        <v/>
      </c>
      <c r="H47" s="6"/>
    </row>
    <row r="48" spans="1:8" x14ac:dyDescent="0.3">
      <c r="A48" s="2" t="s">
        <v>72</v>
      </c>
      <c r="B48" s="3">
        <v>0</v>
      </c>
      <c r="C48" s="3"/>
      <c r="D48" s="3"/>
      <c r="E48" s="5" t="str">
        <f>IF(AND(C48&lt;&gt;"",D48&lt;&gt;""),AVERAGE(C48,D48),IF(C48&lt;&gt;"",C48,""))</f>
        <v/>
      </c>
      <c r="F48" s="4">
        <v>0.8</v>
      </c>
      <c r="G48" s="3" t="str">
        <f>IF(E48="","",IF(E48&lt;0.5,"Debil",IF(E48&lt;0.8,"Media","Fuerte")))</f>
        <v/>
      </c>
      <c r="H48" s="6"/>
    </row>
    <row r="49" spans="1:8" x14ac:dyDescent="0.3">
      <c r="A49" s="2" t="s">
        <v>73</v>
      </c>
      <c r="B49" s="3">
        <v>0</v>
      </c>
      <c r="C49" s="3"/>
      <c r="D49" s="3"/>
      <c r="E49" s="5" t="str">
        <f>IF(AND(C49&lt;&gt;"",D49&lt;&gt;""),AVERAGE(C49,D49),IF(C49&lt;&gt;"",C49,""))</f>
        <v/>
      </c>
      <c r="F49" s="4">
        <v>0.8</v>
      </c>
      <c r="G49" s="3" t="str">
        <f>IF(E49="","",IF(E49&lt;0.5,"Debil",IF(E49&lt;0.8,"Media","Fuerte")))</f>
        <v/>
      </c>
      <c r="H49" s="6"/>
    </row>
    <row r="50" spans="1:8" x14ac:dyDescent="0.3">
      <c r="A50" s="2" t="s">
        <v>74</v>
      </c>
      <c r="B50" s="3">
        <v>0</v>
      </c>
      <c r="C50" s="3"/>
      <c r="D50" s="3"/>
      <c r="E50" s="5" t="str">
        <f>IF(AND(C50&lt;&gt;"",D50&lt;&gt;""),AVERAGE(C50,D50),IF(C50&lt;&gt;"",C50,""))</f>
        <v/>
      </c>
      <c r="F50" s="4">
        <v>0.8</v>
      </c>
      <c r="G50" s="3" t="str">
        <f>IF(E50="","",IF(E50&lt;0.5,"Debil",IF(E50&lt;0.8,"Media","Fuerte")))</f>
        <v/>
      </c>
      <c r="H50" s="6"/>
    </row>
    <row r="51" spans="1:8" x14ac:dyDescent="0.3">
      <c r="A51" s="2" t="s">
        <v>75</v>
      </c>
      <c r="B51" s="3">
        <v>0</v>
      </c>
      <c r="C51" s="3"/>
      <c r="D51" s="3"/>
      <c r="E51" s="5" t="str">
        <f>IF(AND(C51&lt;&gt;"",D51&lt;&gt;""),AVERAGE(C51,D51),IF(C51&lt;&gt;"",C51,""))</f>
        <v/>
      </c>
      <c r="F51" s="4">
        <v>0.8</v>
      </c>
      <c r="G51" s="3" t="str">
        <f>IF(E51="","",IF(E51&lt;0.5,"Debil",IF(E51&lt;0.8,"Media","Fuerte")))</f>
        <v/>
      </c>
      <c r="H51" s="6"/>
    </row>
    <row r="52" spans="1:8" x14ac:dyDescent="0.3">
      <c r="A52" s="2" t="s">
        <v>81</v>
      </c>
      <c r="B52" s="3">
        <v>0</v>
      </c>
      <c r="C52" s="3"/>
      <c r="D52" s="3"/>
      <c r="E52" s="5" t="str">
        <f>IF(AND(C52&lt;&gt;"",D52&lt;&gt;""),AVERAGE(C52,D52),IF(C52&lt;&gt;"",C52,""))</f>
        <v/>
      </c>
      <c r="F52" s="4">
        <v>0.8</v>
      </c>
      <c r="G52" s="3" t="str">
        <f>IF(E52="","",IF(E52&lt;0.5,"Debil",IF(E52&lt;0.8,"Media","Fuerte")))</f>
        <v/>
      </c>
      <c r="H52" s="6"/>
    </row>
    <row r="53" spans="1:8" x14ac:dyDescent="0.3">
      <c r="A53" s="2" t="s">
        <v>84</v>
      </c>
      <c r="B53" s="3">
        <v>0</v>
      </c>
      <c r="C53" s="3"/>
      <c r="D53" s="3"/>
      <c r="E53" s="5" t="str">
        <f>IF(AND(C53&lt;&gt;"",D53&lt;&gt;""),AVERAGE(C53,D53),IF(C53&lt;&gt;"",C53,""))</f>
        <v/>
      </c>
      <c r="F53" s="4">
        <v>0.8</v>
      </c>
      <c r="G53" s="3" t="str">
        <f>IF(E53="","",IF(E53&lt;0.5,"Debil",IF(E53&lt;0.8,"Media","Fuerte")))</f>
        <v/>
      </c>
      <c r="H53" s="6"/>
    </row>
    <row r="54" spans="1:8" x14ac:dyDescent="0.3">
      <c r="A54" s="2" t="s">
        <v>85</v>
      </c>
      <c r="B54" s="3">
        <v>0</v>
      </c>
      <c r="C54" s="3"/>
      <c r="D54" s="3"/>
      <c r="E54" s="5" t="str">
        <f>IF(AND(C54&lt;&gt;"",D54&lt;&gt;""),AVERAGE(C54,D54),IF(C54&lt;&gt;"",C54,""))</f>
        <v/>
      </c>
      <c r="F54" s="4">
        <v>0.8</v>
      </c>
      <c r="G54" s="3" t="str">
        <f>IF(E54="","",IF(E54&lt;0.5,"Debil",IF(E54&lt;0.8,"Media","Fuerte")))</f>
        <v/>
      </c>
      <c r="H54" s="6"/>
    </row>
    <row r="55" spans="1:8" x14ac:dyDescent="0.3">
      <c r="A55" s="2" t="s">
        <v>96</v>
      </c>
      <c r="B55" s="3">
        <v>0</v>
      </c>
      <c r="C55" s="3"/>
      <c r="D55" s="3"/>
      <c r="E55" s="22"/>
      <c r="F55" s="4">
        <v>0.8</v>
      </c>
      <c r="G55" s="3" t="str">
        <f>IF(E55="","",IF(E55&lt;0.5,"Debil",IF(E55&lt;0.8,"Media","Fuerte")))</f>
        <v/>
      </c>
      <c r="H55" s="6" t="s">
        <v>97</v>
      </c>
    </row>
    <row r="56" spans="1:8" x14ac:dyDescent="0.3">
      <c r="A56" s="2" t="s">
        <v>98</v>
      </c>
      <c r="B56" s="3">
        <v>0</v>
      </c>
      <c r="C56" s="3"/>
      <c r="D56" s="3"/>
      <c r="E56" s="22"/>
      <c r="F56" s="4">
        <v>0.8</v>
      </c>
      <c r="G56" s="3" t="str">
        <f>IF(E56="","",IF(E56&lt;0.5,"Debil",IF(E56&lt;0.8,"Media","Fuerte")))</f>
        <v/>
      </c>
      <c r="H56" s="6" t="s">
        <v>99</v>
      </c>
    </row>
    <row r="57" spans="1:8" x14ac:dyDescent="0.3">
      <c r="A57" s="2" t="s">
        <v>100</v>
      </c>
      <c r="B57" s="3">
        <v>0</v>
      </c>
      <c r="C57" s="3"/>
      <c r="D57" s="3"/>
      <c r="E57" s="22"/>
      <c r="F57" s="4">
        <v>0.8</v>
      </c>
      <c r="G57" s="3" t="str">
        <f>IF(E57="","",IF(E57&lt;0.5,"Debil",IF(E57&lt;0.8,"Media","Fuerte")))</f>
        <v/>
      </c>
      <c r="H57" s="6" t="s">
        <v>99</v>
      </c>
    </row>
    <row r="58" spans="1:8" x14ac:dyDescent="0.3">
      <c r="A58" s="2" t="s">
        <v>101</v>
      </c>
      <c r="B58" s="3">
        <v>0</v>
      </c>
      <c r="C58" s="3"/>
      <c r="D58" s="3"/>
      <c r="E58" s="22"/>
      <c r="F58" s="4">
        <v>0.8</v>
      </c>
      <c r="G58" s="3" t="str">
        <f>IF(E58="","",IF(E58&lt;0.5,"Debil",IF(E58&lt;0.8,"Media","Fuerte")))</f>
        <v/>
      </c>
      <c r="H58" s="6" t="s">
        <v>99</v>
      </c>
    </row>
    <row r="59" spans="1:8" x14ac:dyDescent="0.3">
      <c r="A59" s="2" t="s">
        <v>102</v>
      </c>
      <c r="B59" s="3">
        <v>0</v>
      </c>
      <c r="C59" s="3"/>
      <c r="D59" s="3"/>
      <c r="E59" s="22"/>
      <c r="F59" s="4">
        <v>0.8</v>
      </c>
      <c r="G59" s="3" t="str">
        <f>IF(E59="","",IF(E59&lt;0.5,"Debil",IF(E59&lt;0.8,"Media","Fuerte")))</f>
        <v/>
      </c>
      <c r="H59" s="6" t="s">
        <v>103</v>
      </c>
    </row>
  </sheetData>
  <autoFilter ref="A1:H59" xr:uid="{00000000-0009-0000-0000-000000000000}">
    <sortState xmlns:xlrd2="http://schemas.microsoft.com/office/spreadsheetml/2017/richdata2" ref="A2:H59">
      <sortCondition ref="E1:E59"/>
    </sortState>
  </autoFilter>
  <conditionalFormatting sqref="E2:E59">
    <cfRule type="colorScale" priority="2">
      <colorScale>
        <cfvo type="num" val="0"/>
        <cfvo type="num" val="0.65"/>
        <cfvo type="num" val="1"/>
        <color rgb="FFF8696B"/>
        <color rgb="FFFFEB84"/>
        <color rgb="FF63BE7B"/>
      </colorScale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Progreso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Sandoval Troncoso, Bryan Enrique</cp:lastModifiedBy>
  <cp:revision>0</cp:revision>
  <dcterms:created xsi:type="dcterms:W3CDTF">2026-09-09T01:16:21Z</dcterms:created>
  <dcterms:modified xsi:type="dcterms:W3CDTF">2026-09-09T01:53:56Z</dcterms:modified>
  <dc:language>en-US</dc:language>
</cp:coreProperties>
</file>