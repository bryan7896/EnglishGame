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greso" sheetId="1" state="visible" r:id="rId3"/>
  </sheets>
  <definedNames>
    <definedName function="false" hidden="true" localSheetId="0" name="_xlnm._FilterDatabase" vbProcedure="false">Progreso!$A$1:$H$60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<sst xmlns="http://schemas.openxmlformats.org/spreadsheetml/2006/main" count="117" uniqueCount="115">
  <si>
    <t xml:space="preserve">Regla gramatical</t>
  </si>
  <si>
    <t xml:space="preserve">Tandas</t>
  </si>
  <si>
    <t xml:space="preserve">Nota acumulada</t>
  </si>
  <si>
    <t xml:space="preserve">Nota actual</t>
  </si>
  <si>
    <t xml:space="preserve">Nota total</t>
  </si>
  <si>
    <t xml:space="preserve">Meta actual</t>
  </si>
  <si>
    <t xml:space="preserve">Estado</t>
  </si>
  <si>
    <t xml:space="preserve">Notas</t>
  </si>
  <si>
    <t xml:space="preserve">Say vs Tell</t>
  </si>
  <si>
    <t xml:space="preserve">El usuario fija 75-80% (03-sep-2026), se deja en 78. Evidencia real mixta: completar 3/3 perfecto, pero traducción libre 1/3 (se sigue confundiendo said/told en ambas direcciones: "tells" en vez de "said", "said" en vez de "told"). || Repaso: la ELECCIÓN say/tell fue correcta en ambos casos. Un desliz de tiempo verbal ('tells' en vez de 'told').</t>
  </si>
  <si>
    <t xml:space="preserve">Gerundio vs infinitivo (incluye tras preposiciones y before/after + ing)</t>
  </si>
  <si>
    <t xml:space="preserve">CONSOLIDADA: fusiona 'Gerundio tras preposiciones' (25%) + 'Uso de before/after+ing' (80%, subcaso del anterior) + la regla nueva B2 'Gerundio vs infinitivo según el verbo'. Original = promedio de las dos bases previas. || PRIMERA EVALUACIÓN REAL (tentativa, 5 ejercicios) - a pedido explícito del usuario, puntaje honesto y bajo: 3 de 5 omitió el gerundio donde era obligatorio (after eating, interested in learning, enjoys cooking), usando la forma base del verbo. El usuario ya identificó este como su foco personal y tiene un plan propio para trabajarlo. || Mejora real desde el 40% anterior. Ya casi no omite el -ing donde es obligatorio (patrón viejo). El error nuevo, simétrico al de Need-to, es la sobrecorrección: agregar -ing o 'to' de más en sitios donde no corresponde ('needs going to shopping', 'go to swimming' en vez de 'go swimming'). Es evolución normal, no retroceso. || Tanda S: 4/5 con el gerundio bien incluido donde tocaba (after eating, enjoys dancing, interested in learning, after working) - solo 1 caso lo omitió del todo. Muy buen resultado, arriba de la meta. || Tanda T: 5/6 con el gerundio bien puesto (solo 1 lo omitió del todo). Consistente con la tanda pasada, este tema ya se ve genuinamente sólido.</t>
  </si>
  <si>
    <t xml:space="preserve">Preposiciones (to/at/in/on/for/during/from/of)</t>
  </si>
  <si>
    <t xml:space="preserve">Se mantiene separada de 'Preposiciones de movimiento' a propósito: esa está pausada específicamente, y fusionarlas escondería ese estado.</t>
  </si>
  <si>
    <t xml:space="preserve">Preposiciones de movimiento (to/at/for/of con destinos)</t>
  </si>
  <si>
    <t xml:space="preserve">PAUSADA (01-sep-2026): error muy recurrente, esfuerzo activo descontinuado por pedido del usuario. Se deja como fila propia (no se fusiona con 'Preposiciones' general) para no perder de vista que sigue en pausa.</t>
  </si>
  <si>
    <t xml:space="preserve">Phrasal verbs con "look" (look for / look up / look at / look like)</t>
  </si>
  <si>
    <t xml:space="preserve">CONSOLIDADA. Ya cerrada/dominada; esta tanda confirma con fuerza (5/5 traducción). Se deja retirada, dato agregado solo como registro. || Repaso: 2/2 perfecto.</t>
  </si>
  <si>
    <t xml:space="preserve">Tag Questions</t>
  </si>
  <si>
    <t xml:space="preserve">PRIMERA EVALUACIÓN REAL (tentativa, 5 ejercicios): 4/5 sólido. Un fallo real: tag en presente ("do they") con oración principal en pasado ("they didn't come") - la regla de concordancia de tiempo entre cláusula y tag. || Repaso: primer intento de cada par falló (tag no coincide con el tiempo del verbo principal: 'aren't you' con 'you work', 'does she' con pasado), pero AMBOS se autocorrigieron perfecto en el reintento. Patrón claro: lo sabe, pero el primer impulso no siempre coincide.</t>
  </si>
  <si>
    <t xml:space="preserve">Participios irregulares (incluye take/took/taken, leave/left/left)</t>
  </si>
  <si>
    <t xml:space="preserve">CONSOLIDADA: fusiona 'Participios irregulares' (que ya citaba take/took/taken como ejemplo) con la fila separada 'Take/Took/Taken' que testeaba lo mismo. Tanda D promediada (95 y 70) por venir de ambas filas. || Esta era una de las que quedó pendiente de validar, y ahora sí hay evidencia clara: 'broken', 'written' y 'eaten' salieron con la forma correcta las 3 veces, incluso cuando otras partes de la frase fallaron. Puede tratarse como confirmada.</t>
  </si>
  <si>
    <t xml:space="preserve">Artículos (a/an/the)</t>
  </si>
  <si>
    <t xml:space="preserve">PRIMERA EVALUACIÓN REAL (tentativa, 5 ejercicios en completar): 5/5 perfecto, incluyendo a/an bien elegidos según sonido vocálico. || Repaso: 2/2 perfecto.</t>
  </si>
  <si>
    <t xml:space="preserve">Orden de sustantivos compuestos (bus stop, phone number)</t>
  </si>
  <si>
    <t xml:space="preserve">REACTIVAR: resurgió error puntual ('time of dinner' en vez de 'dinner time') || Muy buena esta tanda en el ORDEN en sí (14+/17). Los "errores" reales fueron casi todos de vocabulario, no de orden: "library" en vez de "book store" (confusión clásica biblioteca/librería), "comb" en vez de "hairbrush". "key ring" se aceptó como alternativa válida a "key chain". || Tanda P con compuestos genuinamente forzados (toothbrush, bus stop, sunglasses, phone number, traffic light): el ORDEN salió perfecto las 5/5 veces. Hallazgo nuevo real: escribe "tooth brush" y "sun glasses" como DOS palabras en vez de una (toothbrush, sunglasses son compuestos que se escriben juntos) - esto es ortografía/memorización de cuáles compuestos van juntos y cuáles separados, no orden. También se coló un fallo aparte: evitó el posesivo 's ("the phone number from my doctor" en vez de "my doctor's phone number") - el usuario reconoció no haberlo practicado en un tiempo. Vale la pena vigilar el posesivo 's como posible regla nueva a rastrear. || Repaso: 4/4 prácticamente perfecto.</t>
  </si>
  <si>
    <t xml:space="preserve">Traducciones literales (calcos del español)</t>
  </si>
  <si>
    <t xml:space="preserve">Sin evidencia reciente formal, pero resurgió un caso puntual en Tanda N: "has eighty years old" en vez de "is eighty years old" (el clásico calco de tener años -&gt; has years). Vigilar si se repite.</t>
  </si>
  <si>
    <t xml:space="preserve">Sujeto "it" (clima, tiempo, distancia)</t>
  </si>
  <si>
    <t xml:space="preserve">CONFIRMADA (4 rondas seguidas &gt;=80%: E,G,I,J). Mantenimiento mínimo. || Repaso: sólido, solo una preposición de más.</t>
  </si>
  <si>
    <t xml:space="preserve">For + período / During + evento</t>
  </si>
  <si>
    <t xml:space="preserve">Already / Yet / Just</t>
  </si>
  <si>
    <t xml:space="preserve">2 rondas &gt;=80% (D,E); falta reconfirmar. Emparentada con 'Presente perfecto+just' pero se deja aparte: cubre también already/yet, no solo just. || Tanda Q: 5/5 perfecto en completar. || Repaso: 2/2 perfecto.</t>
  </si>
  <si>
    <t xml:space="preserve">Since vs For</t>
  </si>
  <si>
    <t xml:space="preserve">Sin evidencia reciente; falta reconfirmar || Repaso: en producción libre, ambas fallaron el punto clave - 'since 2020' necesita presente perfecto ('I've lived') y usó presente simple ('I live'); en 'for two hours' usó gerundio en vez del participio ('waiting' en vez de 'waited'). En un ejercicio de completar con ayuda SÍ lo logró bien, así que el concepto está, falta la producción libre.</t>
  </si>
  <si>
    <t xml:space="preserve">Orden natural de la oración en inglés</t>
  </si>
  <si>
    <t xml:space="preserve">Preguntas con presente/pasado perfecto (Have...ever...? / Had...?)</t>
  </si>
  <si>
    <t xml:space="preserve">CONSOLIDADA: fusiona 'Preguntas con Have you ever...?' y 'Preguntas con Had...?' (misma mecánica de pregunta, distinto tiempo). Tanda E promediada (95 y 55) por venir de ambas filas. CONFIRMADA (3 rondas seguidas &gt;=80%: F,I,J).</t>
  </si>
  <si>
    <t xml:space="preserve">Diferencia entre "will" y "going to"</t>
  </si>
  <si>
    <t xml:space="preserve">Primera evaluación real con evidencia sólida (23 ejercicios). 'Will' para decisiones espontáneas: 9/10. 'Going to' con evidencia/planes: más flojo (~60%), 2 casos claros de usar 'will' en vez de 'going to' pese a evidencia visible, autoreconocidos por el usuario en tiempo real ("ya estudié que ahora se usa will", "sigo fallando el going"). Aprendizaje real ocurriendo en la misma tanda. || Tanda P: 3/5 correcto. Buenas noticias: la lluvia con evidencia visible ("sky is dark") y el plan con evidencia ("bought the paint") ya salieron con GOING TO correctamente. Pero "her eyes, she's going to cry" y "already packed, going to travel" volvieron a fallar a WILL - el usuario mismo lo reconoce y pide seguir practicando esto en cada tanda futura. || Tanda Q: sigue siendo el punto más terco. 2 de 3 casos con evidencia clara de plan/evidencia ("long line", "ya pagamos el contrato") usó WILL en vez de GOING TO, pese a reconocerlo el usuario mismo en ambos casos. Un tercer caso ("everything going to ok") usó going-to donde will es más natural - el usuario cuestionó esto y tiene parte de razón (no es agramatical, solo menos convencional). || Con contexto explícito (Tanda R+contexto), gran mejora real: la ELECCIÓN will/going-to en sí fue correcta en la mayoría de los casos (~18/24), incluso cuando la frase completa tuvo otros errores (falta de 'is/are', palabra de más). Quedan 4-5 casos de elección invertida claros (needs going-to context answered with will y viceversa), y 2 casos límite donde el usuario cuestionó la respuesta con argumento válido (predicción por rasgo general vs evidencia puntual). Confirma la hipótesis del usuario: el contexto sí desbloqueó la comprensión real del concepto. || Tanda S (con contexto): 5/5 PERFECTO en la elección will/going-to. Con contexto explícito, este tema ya está sólido de verdad. || Tanda T (con contexto): 6/6 PERFECTO otra vez en la elección will/going-to - segunda tanda seguida en 100%. Este tema queda CONFIRMADO de verdad. || Repaso (con contexto): tercera tanda seguida en 100%. Este tema queda totalmente confirmado. || Ligera baja desde el 100% de las últimas 3 tandas (2 casos usaron going-to para una decisión espontánea de ahora mismo, que pedía will), pero con autocorrección visible en el repaso (de 'I'm going to go to buy' a 'I'll go buy' en dos intentos). No es un retroceso real - son ejemplos nuevos, no los ya practicados.</t>
  </si>
  <si>
    <t xml:space="preserve">3ra persona singular (-s)</t>
  </si>
  <si>
    <t xml:space="preserve">Fuerte esta tanda (4/4 válidos, 1 typo de ortografía aparte). Un 5to caso ("He would drive...") se excluye por pedido del usuario: fue contaminación del tema 'would' que se estaba practicando en paralelo, no un fallo real de esta regla. || Tanda Q: 3/4 sólido (teaches, arrives correctos). Un fallo real: "She cleaning the house" en vez de "She cleans" - usó gerundio en vez de presente simple con -s, justo el tipo de confusión que el usuario quiere resolver con su plan de -ING. || Tanda S: 7/10 impecable, 1 con -s incluida pero mal escrita (sleepes), solo 2 omisiones reales (arrive, running en vez de runs). Sólido, por encima de la meta. || Tanda T: 7/10 con la -s bien. Reaparece un patrón puntual: usar gerundio en vez de presente simple ('the baby crying' en vez de 'cries') - el mismo tipo de error que se vio hace varias tandas, probablemente por el foco reciente tan fuerte en -ing. || Repaso: 'She cleans her room' perfecto. Un caso agregó 'to' de más ('needs to help' en vez de 'needs help') - error de otro tema (need-to) coladándose, no de la -s en sí.</t>
  </si>
  <si>
    <t xml:space="preserve">Vocabulario específico</t>
  </si>
  <si>
    <t xml:space="preserve">Confusiones puntuales tipo falso amigo: advice/advance, correct/truth, missing/gone</t>
  </si>
  <si>
    <t xml:space="preserve">Need to + infinitivo</t>
  </si>
  <si>
    <t xml:space="preserve">PRIMERA EVALUACIÓN REAL (tentativa, 5 ejercicios): hallazgo fuerte - 4 de 5 veces omitió el "to" ("needs rest", "needs finish", "need sleep", "need tell"). Patrón muy consistente, vale la pena foco dedicado pronto. || SALTO GRANDE desde el 20% anterior. Antes omitía el 'to' 4 de 5 veces; ahora lo incluye en la gran mayoría de los casos. El error nuevo que apareció es la sobrecorrección: a veces mete 'to' o gerundio donde no va ('need to some more relaxing', 'need waiting' en vez de 'need to wait') - normal en esta etapa de aprendizaje, es la otra cara de haber dejado de omitirlo. || Tanda S: bajó un poco (3/5 con 'to' bien puesto). Volvió a aparecer el patrón antiguo en 2 casos (uno con 'to' omitido del todo, otro sustituyendo el infinitivo por gerundio: 'need washing' en vez de 'need to wash'). No es alarmante, pero vale la pena una ronda más de refuerzo. || Tanda T: 4/6 con el 'to' incluido. Se repitieron 2 omisiones (el usuario lo reconoce como hábito: 'se me olvida mucho ese to'). Recuperación real desde el bajón de la tanda pasada (58%).</t>
  </si>
  <si>
    <t xml:space="preserve">Presente perfecto: have/has/had + participio (incluye "just": acaba de/acababa de)</t>
  </si>
  <si>
    <t xml:space="preserve">CONSOLIDADA: fusiona 'Have/Has/Had (aux)' + 'Have just/Had just' + 'Expresiones con acaba de/acababa de' (las tres testean la misma construcción: presente/pasado perfecto, con o sin 'just').</t>
  </si>
  <si>
    <t xml:space="preserve">Past Perfect</t>
  </si>
  <si>
    <t xml:space="preserve">Past Perfect Continuous</t>
  </si>
  <si>
    <t xml:space="preserve">CERRADA a pedido del usuario (02-sep-2026): 10/10 en traduccion (con typos menores sin importancia) y 9/10 en completar. Excelente resultado en su primera introduccion real. Se retira de la rotacion. || Repaso: 4/4 sólido, prácticamente perfecto. Este tema recién evaluado ya se ve muy fuerte.</t>
  </si>
  <si>
    <t xml:space="preserve">Future Perfect Continuous</t>
  </si>
  <si>
    <t xml:space="preserve">Voz pasiva (presente y con modales)</t>
  </si>
  <si>
    <t xml:space="preserve">CONSOLIDADA: fusiona 'Voz pasiva' con la regla nueva B2 'Voz pasiva con modales' (misma construcción base, con complejidad extra de modal).</t>
  </si>
  <si>
    <t xml:space="preserve">Get + adjetivo (cambios de estado: get worried, se puso...)</t>
  </si>
  <si>
    <t xml:space="preserve">CONSOLIDADA: fusiona 'Get/Got/Get+adjective' con 'Expresiones con se puso... (get+adjective)', que eran la misma regla con nombres distintos. Uso nuevo sin dominar del todo: "getting dark" para cambios graduales. || Repaso: en los dos casos, el primer intento omitió 'got' del todo (usó 'is/get' en vez del cambio de estado). En el reintento SÍ incluyó 'got' correctamente, aunque siguió con la palabra de la emoción equivocada (afraid en vez de angry/worried). La estructura got+adjetivo va mejorando; el vocabulario de emociones es lo que sigue fallando.</t>
  </si>
  <si>
    <t xml:space="preserve">Bring / Brought</t>
  </si>
  <si>
    <t xml:space="preserve">Media, volátil; verbo casi siempre bien, falla lo de alrededor || Excelente: 10/10 en traducción + 11/11 en completar, cero errores de tiempo verbal (solo vocabulario/tipeo). El verbo ya está total y consistentemente dominado.</t>
  </si>
  <si>
    <t xml:space="preserve">Give / Gave / Given</t>
  </si>
  <si>
    <t xml:space="preserve">Gran salto esta tanda: 9/10 en traducción + 5/5 en completar. Construcción "gave X to person" ya muy sólida || Tanda P: 5/5 perfecto en completar. || Repaso: hallazgo real - en 'has given' escribió 'has take' (verbo equivocado) y luego 'has gave' (pasado simple en vez de participio 'given'). Confusión clara entre el pasado simple y el participio de este verbo específicamente. || Gran mejora real: el PARTICIPIO 'given' salió correcto en 4 de 5 casos (incluso con otros errores alrededor), y el único que lo falló se autocorrigió perfecto en el reintento. La confusión gave/given que veníamos arrastrando se ve resuelta. || El participio 'given' salió correcto en casi todos los intentos válidos (5-6 de 7), confirmando la recuperación de la tanda pasada. Los errores restantes fueron de vocabulario alrededor (truth/correct, help/support), no del verbo en sí.</t>
  </si>
  <si>
    <t xml:space="preserve">Modales de posibilidad/deducción (there might be, must/might/can't + be)</t>
  </si>
  <si>
    <t xml:space="preserve">CONSOLIDADA: fusiona 'There might be/There could be' con la regla nueva B2 'Modales de deducción (must/might/can't+be)' - ambas expresan posibilidad/deducción.</t>
  </si>
  <si>
    <t xml:space="preserve">Still + hope</t>
  </si>
  <si>
    <t xml:space="preserve">CERRADA a 80% por decisión explícita del usuario (04-sep-2026), pese a que la fórmula daba 62.5% - el usuario considera que la omisión de -s es un problema general que se resuelve con la práctica del resto del temario, no insistiendo en esta regla puntual. 80% no significa abandonada: el plan es 1) subirla a 100% más adelante en una ronda dedicada, 2) luego reiniciar TODO el listado a 0% para empezar 'escritura inversa' (escribir en español el significado de una frase en inglés), y 3) cuando esa escritura inversa llegue a 60%, enfocar el esfuerzo en comprensión auditiva. || Dato histórico Tanda P (sin afectar el 80% cerrado): ~65-70% en esta tanda (2 aciertos limpios, 1 con -s omitida de nuevo en 'weather get better', 1 con -s de más autocorregida). Confirma justo lo que el usuario predijo: el patrón de la -s es general, no específico de esta regla.</t>
  </si>
  <si>
    <t xml:space="preserve">Contables vs incontables (few/little, less/fewer, much/many)</t>
  </si>
  <si>
    <t xml:space="preserve">CONSOLIDADA: fusiona 'Contables vs incontables' + 'Few vs Little' + 'Less vs Fewer' - las tres son la misma discriminación contable/incontable con distintas parejas de palabras. || Repaso: patrón claro - con sustantivos contables ('friends') eligió bien 'few', pero con incontables ('food') también usó 'few' en vez de 'little'. Parece aplicar 'few' como default sin distinguir bien contable/incontable todavía. || Buena mejora: el CUANTIFICADOR correcto (few para contables, little para incontables) salió bien en 4 de 5, incluso cuando la estructura alrededor falló. Solo un caso mezcló 'There're' (plural) con 'water' (incontable). || Muy sólido: el CUANTIFICADOR correcto (little/few/many según el sustantivo) salió bien prácticamente en todos los casos esta vez. Este tema ya se puede considerar bastante asentado.</t>
  </si>
  <si>
    <t xml:space="preserve">Gone vs Left</t>
  </si>
  <si>
    <t xml:space="preserve">El usuario fija 85% (03-sep-2026). Evidencia Tanda M: 9/10 en completar, y en traducción libre el único fallo real fue el modismo fijo "gone on a trip" (dijo "gone to travel"). OJO - DETECTADO PROBLEMA DE DISEÑO: 2 frases en español usaron pretérito simple ("salió", "abandonó") pero el inglés esperaba presente perfecto ("has left") - la misma ambigüedad que ya se había corregido antes, se coló de nuevo en 2 frases nuevas. Corregir en la próxima tanda de esta regla.</t>
  </si>
  <si>
    <t xml:space="preserve">Modales básicos (can, could, should, must, will, would, used to + verbo)</t>
  </si>
  <si>
    <t xml:space="preserve">CONSOLIDADA. Gran mejora en Tanda M (03-sep-2026), ya con el diseño correcto (el modal como espacio en blanco): ~90% en traducción libre. El usuario confirma sentirlo dominado. Quedan 2 matices puntuales para vigilar: (1) after 'can/must/should/will' el verbo va siempre en base, sin -s (auto-detectado y corregido por el usuario en tiempo real dentro de la misma tanda); (2) 'should' vs 'must' para distinguir sugerencia de obligación. || Tanda Q: 3/4 sólido. Un desliz: "before that get dark" (pronombre 'that' en vez de 'it', y -s omitida en 'gets').</t>
  </si>
  <si>
    <t xml:space="preserve">Cláusulas relativas (who/which/that, incluyendo explicativas con comas)</t>
  </si>
  <si>
    <t xml:space="preserve">CONSOLIDADA. Elección del pronombre (who/that/which) muy sólida (~90%+, incluso "that" para personas, aceptable coloquialmente). El punto débil real es la puntuación: en la explicativa con comas puso solo la primera coma y olvidó la segunda ("who lives in Spain will visit" en vez de "who lives in Spain, will visit"). El usuario disfrutó mucho este tipo de ejercicio y pidió explícitamente más frases con cláusulas explicativas (persona, comas) para la próxima ronda. || Repaso: patrón muy claro y consistente - el pronombre (who/that) y el verbo casi siempre están bien, pero las COMAS de las cláusulas explicativas se omiten sistemáticamente (2 de 2 casos con coma faltante). Justo el punto que el nombre de la regla señala. || El pronombre/verbo ya está sólido (5/5). Las comas de las explicativas mejoraron un poco (1 de 3 esta vez, antes 0 de 2) pero siguen siendo inconsistentes - sigue siendo el punto exacto a reforzar. || Bajamos la exigencia de comas como acordamos. El pronombre/verbo de la cláusula sigue sólido. Aparecieron dos cositas nuevas sin relación a comas: un verbo irregular tratado como regular ('chosed' en vez de 'chose'), y presente simple en vez de continuo ('comes' en vez de 'is coming') - normal, ahora que no hay presión de comas se nota mejor lo demás.</t>
  </si>
  <si>
    <t xml:space="preserve">(put, try, get, trying, take, lie) + (down, off, on)</t>
  </si>
  <si>
    <t xml:space="preserve">Sustantivos compuestos (compound nouns)</t>
  </si>
  <si>
    <t xml:space="preserve">Expresiones de tiempo con over</t>
  </si>
  <si>
    <t xml:space="preserve">Make vs Do</t>
  </si>
  <si>
    <t xml:space="preserve">El usuario fija 85% (02-sep-2026). Corregir de Tanda L: 1 fallo inicial (repitio el error mostrado) resuelto en retry. Sigue en rotacion normal.</t>
  </si>
  <si>
    <t xml:space="preserve">Too vs Very</t>
  </si>
  <si>
    <t xml:space="preserve">El usuario fija 90% (03-sep-2026), bien respaldado: 5/5 en traducción + 5/5 en completar en la elección too/very. Los únicos fallos fueron en preposiciones (tema pausado) y un verbo mal elegido, ajenos a esta regla. || Tanda Q: 2/2 perfecto en completar. || Repaso: 2/2 perfecto.</t>
  </si>
  <si>
    <t xml:space="preserve">Bad vs Badly</t>
  </si>
  <si>
    <t xml:space="preserve">Sin evidencia reciente; falta reconfirmar || Tanda P: 3/3 perfecto. || Repaso: el primer intento con 'milk tastes ___' puso 'badly' (equivocado, debía ser el adjetivo 'bad' tras verbo de enlace), pero se autocorrigió solo en los dos reintentos siguientes. Buena señal de aprendizaje en vivo. || La distinción adjetivo/adverbio salió bien 2 de 3 limpio, y el usuario mismo detectó y corrigió su propio error en el tercero - pidió no ser tan severo con esta tanda porque ya entendió el punto, y la evidencia respalda eso.</t>
  </si>
  <si>
    <t xml:space="preserve">Uso básico de "as" = como</t>
  </si>
  <si>
    <t xml:space="preserve">PRIMERA EVALUACIÓN REAL (tentativa, 5 ejercicios): la elección de "as" en sí fue correcta 4/5 veces. Los fallos reales estuvieron alrededor (artículo omitido tras "as", un caso con verbo/pronombre/sustantivo equivocados que cambiaron el sentido - explicado en el reporte). || La palabra 'as' en sí se elige bien la gran mayoría de las veces (~20/24). Los errores reales están alrededor: pronombre objeto tras 'as' vuelve a fallar ('I see they as family' en vez de 'him'), vocabulario (util/useful, really/real), y 1-2 frases con ruptura estructural completa. || Tanda S: la palabra 'as' se incluyó correctamente las 5/5 veces. Los fallos reales estuvieron en tiempo verbal, artículos y vocabulario alrededor - con autocorrección visible en 2 de 3 casos que pasaron por repaso (uno tomó 4 intentos pero llegó). || Tanda T: 'as' incluido correctamente 6/6 veces otra vez (segunda tanda seguida en 100% para ese punto puntual). Los fallos siguen siendo alrededor: artículos, pronombres, un tiempo verbal.</t>
  </si>
  <si>
    <t xml:space="preserve">Uso de "when / while"</t>
  </si>
  <si>
    <t xml:space="preserve">CONFIRMADA/DOMINADA a pedido del usuario (02-sep-2026): 1/2 en traduccion (con un desliz de "were" autoreconocido) + 6/6 en completar. Se retira de la rotacion activa. || Repaso: sólido, un caso con el 'was' omitido en la segunda cláusula.</t>
  </si>
  <si>
    <t xml:space="preserve">Future Continuous</t>
  </si>
  <si>
    <t xml:space="preserve">Comparativos y superlativos</t>
  </si>
  <si>
    <t xml:space="preserve">Expresiones con "some / any / no" (incluye something/anything/nothing)</t>
  </si>
  <si>
    <t xml:space="preserve">17/20 en completar. Patrón real identificado: confunde el cuantificador simple (any/some) con su forma pronombre (anything/something) cuando va SOLO como objeto ("I don't want any to eat" en vez de "anything"). También detectado: 1 frase en español ("No quedan boletos") no tenía pista clara de cuál cuantificador usar - mejorar claridad en la próxima tanda. || Tanda P: 5/5 perfecto, incluyendo los dos casos que antes fallaban (any/some vs anything/something como objeto solo). Patrón resuelto. || Tanda Q (traducción libre, más exigente que completar): 40-50% real. "I've nothing problem" (mezcla negativa rota), "some" en vez de "something". Confirma: dominan el reconocimiento (completar) pero la producción libre sigue floja. || Repaso: 'anything' vs 'something' en pregunta salió invertido, y 'to lose' siguió mal ('for lost') incluso en el reintento. Este tema necesita una ronda dedicada pronto. || Repaso: 'lose/lost' se resolvió tras 2 reintentos. Pero 'anyone' en preguntas sigue sin asentarse - incluso en el intento que el usuario sintió más seguro ('Is there someone at home?') faltaba cambiar 'someone' por 'anyone', que es justo la regla: alguien/algo en preguntas = any-, no some-. || El uso de 'any/anyone' en preguntas mejoró de verdad tras la lección. Los errores de esta tanda fueron distintos a los de antes: -s de plural olvidada ('any plan' en vez de 'any plans'), y en la sección de corrección el usuario probó activamente usar 'nothing' y eso le generó MÁS errores temporalmente - el usuario mismo lo identificó ('me estoy forzando a usar nothing y eso me hace cometer más errores'). Esto es normal: al practicar una forma nueva a propósito, es común tropezar más antes de asentarla del todo.</t>
  </si>
  <si>
    <t xml:space="preserve">Uso de "have" simple vs contracción "'ve" con cantidades/posesión</t>
  </si>
  <si>
    <t xml:space="preserve">RESUELTA. Confirmada, ya no se practica activamente. (No se fusiona con el bloque de presente perfecto: es un uso distinto de have, posesión, no auxiliar.) || La otra pendiente de validar: 2 de 3 usaron 'have' completo de forma natural donde correspondía. Solo un caso usó la contracción 've' de forma menos natural para una posesión simple. Suficiente evidencia para dejar de considerarla pendiente.</t>
  </si>
  <si>
    <t xml:space="preserve">Primer condicional (if + presente, will/won't + infinitivo)</t>
  </si>
  <si>
    <t xml:space="preserve">Gran salto en Tanda M (03-sep-2026): ~13/15 en traducción libre + 9/10 en completar, tras la lección diagnóstica. Quedan 2 puntos sueltos: "will" vs "would" en el resultado (1 vez, explicada como error de lectura) y una construcción rara con "it's doesn't" (redundancia de 'it's' + 'doesn't'). || Tanda S: la parte de resultado (will/'ll) salió bien en 4/5. Un caso usó 'going to' en vez de 'will' - el usuario defendió su elección con buen argumento (predicción que 'se ve venir'); válido en el habla real, aunque el objetivo de este ejercicio puntual es 'will'. El if-clause tuvo 2 deslices de tiempo/  -s. || Tanda T: el resultado (will/'ll) salió bien en la mayoría. Un caso mezcló el modal del segundo condicional ('wouldn't' en vez de 'won't') pero se autocorrigió en el repaso. Estable.</t>
  </si>
  <si>
    <t xml:space="preserve">Segundo condicional (if + pasado, would + infinitivo)</t>
  </si>
  <si>
    <t xml:space="preserve">Corregido tras revisión completa: 4/5 en traducción + ~20/20 en completar. Muy buen nivel. Hallazgo real: confunde "were" (ser/estar hipotético) con "had" (tener/poseer hipotético). || Tanda P: 5/5 sólido. La estructura if+pasado, would+infinitivo está totalmente asentada. Un detalle aparte: "we would tell to him" - agregó "to" indebido (eso es del viejo tema Say vs Tell, no de esta regla). || La estructura if+pasado,would+verbo está sólida. Lo más valioso: se ve AUTOCORRECCIÓN EN VIVO en varios pares de repetición (would-&gt;will corregido de intento 1 a 2, 'be' omitido y luego incluido). Quedan sueltos: 'would TO' en vez de 'would GO' (inserta 'to' de más tras el modal), y algún vocabulario (funny/fun, tired/tiring). || Tanda S: el esqueleto if+pasado,would+verbo estuvo presente en las 5 (siempre incluyó 'would' y el pasado correcto en el if). Los fallos fueron en el verbo/preposición de alrededor (would TO go, verbo equivocado), con autocorrección real en 2 casos vía repaso. Estructura dominada, ejecución en proceso. || Tanda T: bajó un poco. Hallazgo nuevo real: 2 veces usó 'have' en vez de 'had' en el if-clause (tiempo presente en vez de pasado, mezclando con primer condicional). También 'she'll' en vez de 'she would be'. El 'would' cuando aparece solo, está bien - el problema es el tiempo del if-clause. || Repaso: muy sólido, 3/4 exacto y el cuarto excluido por error de lectura reconocido por el usuario.</t>
  </si>
  <si>
    <t xml:space="preserve">Pronombre objeto tras preposición (him/her/them, no he/she/they)</t>
  </si>
  <si>
    <t xml:space="preserve">GRAN SALTO: 10/10 correcto esta tanda (antes 20-45%). Probablemente ya asentada, confirmar con 1-2 rondas más antes de retirar. || Tanda P: 10/10 perfecto en completar. Esta regla puede darse por asentada.</t>
  </si>
  <si>
    <t xml:space="preserve">Verbos make/let/help + objeto + infinitivo (sin 'to')</t>
  </si>
  <si>
    <t xml:space="preserve">Detectada, sin practicar aún ("made me to understand", "let him to go")</t>
  </si>
  <si>
    <t xml:space="preserve">Estilo indirecto básico (reported speech)</t>
  </si>
  <si>
    <t xml:space="preserve">Sin usar todavía</t>
  </si>
  <si>
    <t xml:space="preserve">Wish + pasado simple</t>
  </si>
  <si>
    <t xml:space="preserve">Conectores formales (however, although, despite, moreover)</t>
  </si>
  <si>
    <t xml:space="preserve">Phrasal verbs de nivel B2 (give up, look forward to, run into, get along)</t>
  </si>
  <si>
    <t xml:space="preserve">Sin usar todavía (se deja aparte de la familia 'look' básica: son vocabulario/nivel distinto)</t>
  </si>
  <si>
    <t xml:space="preserve">Wh Questions (what/where/why/who/when/how)</t>
  </si>
  <si>
    <t xml:space="preserve">NUEVA (separada de Tag Questions, que prueba el patrón "...isn't it?"). PRIMERA EVALUACIÓN REAL: hallazgo importante - error muy consistente en la INVERSIÓN de la pregunta ("Why this class is so boring" en vez de "Why IS this class..."), y auxiliares omitidos (did/do/is). No es falta de vocabulario, es la mecánica de formar la pregunta (wh-word + auxiliar + sujeto + verbo). Foco recomendado para próxima ronda. || Tanda S: MEJORA CLARA desde la última medición (40%). La inversión (wh-word + auxiliar + sujeto) salió bien o casi bien en 4/5 casos, incluyendo autocorrección completa vía repaso en el que más costó. La nueva regla identificada la sesión pasada ya está rindiendo frutos. || Tanda T: mezclado. La mayoría mantuvo el orden de inversión pero con el tiempo verbal equivocado (do en vez de did). Sí hubo 2 casos con la inversión completamente ausente ('What time it's', 'When start the class') - la mejora de la tanda pasada no se sostuvo del todo, sigue siendo el punto más inestable. || Repaso: 4/5 sólido - mejora real y esta vez sí sostenida. Solo un caso con wh-word equivocada y tiempo verbal mezclado.</t>
  </si>
  <si>
    <t xml:space="preserve">Past Perfect vs Presente vs Futuro</t>
  </si>
  <si>
    <t xml:space="preserve">PRIMERA EVALUACIÓN REAL (Tanda S, con lección breve incluida). Muy buen resultado para ser la primera vez: el presente y el futuro salieron casi perfectos, y el Past Perfect (had+participio) se usó correctamente en la mayoría de los casos con "ya" + otra acción pasada. Los fallos fueron puntuales (sujeto confundido por lectura, -ed omitida, 'will' omitido una vez) - no confusión real entre los tres tiempos. || Tanda T: muy sólido en su segunda prueba real - presente y futuro casi perfectos, Past Perfect correcto en la mayoría. Un error real revela una confusión de fondo: escribió "I'd pay" para "ya había pagado" - eso es CONDICIONAL (would), no Past Perfect (had). Vale la pena aclarárselo directamente.</t>
  </si>
  <si>
    <t xml:space="preserve">Half of</t>
  </si>
  <si>
    <t xml:space="preserve">PRIMERA EVALUACIÓN REAL (con lección breve). La construcción 'half of + sustantivo' salió presente y bien formada en las 10 frases. Los errores reales fueron de TIEMPO VERBAL alrededor (spend/spent, doesn't/didn't, 'have left' en vez de 'left') - la estructura nueva se entendió, el tiempo verbal sigue siendo el reto transversal. || Muy sólido. Lo más valioso: en el único fallo real, el usuario se autocorrigió Y explicó el porqué ('city es una sola, por eso doesn't') - eso es comprensión real, no memorización.</t>
  </si>
  <si>
    <t xml:space="preserve">Oraciones con "by" para tiempo futuro</t>
  </si>
  <si>
    <t xml:space="preserve">PRIMERA EVALUACIÓN REAL (con lección breve). Patrón claro y específico: 3 veces se perdió el participio dentro de 'will have + participio' (traveled→travel, saved→save, found→find) - usa bien el armazón 'will have' pero a veces vuelve el verbo principal a su forma base. También 'in home' en vez de 'home'/'at home' en dos casos. || Salto grande gracias a la lección: el participio dentro de 'will have' salió bien en 7 de 8 intentos (antes habían sido 3 fallos claros). La lección funcionó.</t>
  </si>
  <si>
    <t xml:space="preserve">because of / because</t>
  </si>
  <si>
    <t xml:space="preserve">PRIMERA EVALUACIÓN REAL (con lección breve). La distinción en sí se entendió bien en la mayoría de los casos, con una excepción notable: en un reintento cambió 'because of the weather' (correcto) a 'because the weather' (sin 'of') - justo la regla que se acababa de enseñar. Vale la pena una repetición dirigida a esto. || Sólido en la elección because/because of (6 de 8 limpio). Patrón específico nuevo: se le olvida el sujeto 'it' antes de adjetivos de clima ('because was cold' en vez de 'because it was cold') - ya lo habíamos visto en otros contextos, aquí reaparece.</t>
  </si>
</sst>
</file>

<file path=xl/styles.xml><?xml version="1.0" encoding="utf-8"?>
<styleSheet xmlns="http://schemas.openxmlformats.org/spreadsheetml/2006/main">
  <numFmts count="2">
    <numFmt numFmtId="164" formatCode="General"/>
    <numFmt numFmtId="165" formatCode="0%"/>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i val="true"/>
      <sz val="9"/>
      <color rgb="FF666666"/>
      <name val="Arial"/>
      <family val="0"/>
      <charset val="1"/>
    </font>
  </fonts>
  <fills count="3">
    <fill>
      <patternFill patternType="none"/>
    </fill>
    <fill>
      <patternFill patternType="gray125"/>
    </fill>
    <fill>
      <patternFill patternType="solid">
        <fgColor rgb="FF2F5496"/>
        <bgColor rgb="FF0066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7">
    <dxf>
      <fill>
        <patternFill patternType="solid">
          <fgColor rgb="FF2F5496"/>
          <bgColor rgb="FF000000"/>
        </patternFill>
      </fill>
    </dxf>
    <dxf>
      <fill>
        <patternFill patternType="solid">
          <bgColor rgb="FF000000"/>
        </patternFill>
      </fill>
    </dxf>
    <dxf>
      <fill>
        <patternFill patternType="solid">
          <fgColor rgb="FFFFFFFF"/>
          <bgColor rgb="FF000000"/>
        </patternFill>
      </fill>
    </dxf>
    <dxf>
      <fill>
        <patternFill patternType="solid">
          <fgColor rgb="FF90CB7E"/>
          <bgColor rgb="FF000000"/>
        </patternFill>
      </fill>
    </dxf>
    <dxf>
      <fill>
        <patternFill patternType="solid">
          <fgColor rgb="FF9DCF7F"/>
          <bgColor rgb="FF000000"/>
        </patternFill>
      </fill>
    </dxf>
    <dxf>
      <fill>
        <patternFill patternType="solid">
          <fgColor rgb="FFA1D07F"/>
          <bgColor rgb="FF000000"/>
        </patternFill>
      </fill>
    </dxf>
    <dxf>
      <fill>
        <patternFill patternType="solid">
          <fgColor rgb="FFA6D27F"/>
          <bgColor rgb="FF000000"/>
        </patternFill>
      </fill>
    </dxf>
    <dxf>
      <fill>
        <patternFill patternType="solid">
          <fgColor rgb="FFABD380"/>
          <bgColor rgb="FF000000"/>
        </patternFill>
      </fill>
    </dxf>
    <dxf>
      <fill>
        <patternFill patternType="solid">
          <fgColor rgb="FFB0D580"/>
          <bgColor rgb="FF000000"/>
        </patternFill>
      </fill>
    </dxf>
    <dxf>
      <fill>
        <patternFill patternType="solid">
          <fgColor rgb="FFB2D580"/>
          <bgColor rgb="FF000000"/>
        </patternFill>
      </fill>
    </dxf>
    <dxf>
      <fill>
        <patternFill patternType="solid">
          <fgColor rgb="FFBAD780"/>
          <bgColor rgb="FF000000"/>
        </patternFill>
      </fill>
    </dxf>
    <dxf>
      <fill>
        <patternFill patternType="solid">
          <fgColor rgb="FFBDD881"/>
          <bgColor rgb="FF000000"/>
        </patternFill>
      </fill>
    </dxf>
    <dxf>
      <fill>
        <patternFill patternType="solid">
          <fgColor rgb="FFC3DA81"/>
          <bgColor rgb="FF000000"/>
        </patternFill>
      </fill>
    </dxf>
    <dxf>
      <fill>
        <patternFill patternType="solid">
          <fgColor rgb="FFC6DB81"/>
          <bgColor rgb="FF000000"/>
        </patternFill>
      </fill>
    </dxf>
    <dxf>
      <fill>
        <patternFill patternType="solid">
          <fgColor rgb="FFCFDD82"/>
          <bgColor rgb="FF000000"/>
        </patternFill>
      </fill>
    </dxf>
    <dxf>
      <fill>
        <patternFill patternType="solid">
          <fgColor rgb="FFD3DF82"/>
          <bgColor rgb="FF000000"/>
        </patternFill>
      </fill>
    </dxf>
    <dxf>
      <fill>
        <patternFill patternType="solid">
          <fgColor rgb="FFD7E082"/>
          <bgColor rgb="FF000000"/>
        </patternFill>
      </fill>
    </dxf>
    <dxf>
      <fill>
        <patternFill patternType="solid">
          <fgColor rgb="FFDAE182"/>
          <bgColor rgb="FF000000"/>
        </patternFill>
      </fill>
    </dxf>
    <dxf>
      <fill>
        <patternFill patternType="solid">
          <fgColor rgb="FFDCE182"/>
          <bgColor rgb="FF000000"/>
        </patternFill>
      </fill>
    </dxf>
    <dxf>
      <fill>
        <patternFill patternType="solid">
          <fgColor rgb="FFE7E483"/>
          <bgColor rgb="FF000000"/>
        </patternFill>
      </fill>
    </dxf>
    <dxf>
      <fill>
        <patternFill patternType="solid">
          <fgColor rgb="FFE9E583"/>
          <bgColor rgb="FF000000"/>
        </patternFill>
      </fill>
    </dxf>
    <dxf>
      <fill>
        <patternFill patternType="solid">
          <fgColor rgb="FFECE683"/>
          <bgColor rgb="FF000000"/>
        </patternFill>
      </fill>
    </dxf>
    <dxf>
      <fill>
        <patternFill patternType="solid">
          <fgColor rgb="FFF2E884"/>
          <bgColor rgb="FF000000"/>
        </patternFill>
      </fill>
    </dxf>
    <dxf>
      <fill>
        <patternFill patternType="solid">
          <fgColor rgb="FFF7E984"/>
          <bgColor rgb="FF000000"/>
        </patternFill>
      </fill>
    </dxf>
    <dxf>
      <fill>
        <patternFill patternType="solid">
          <fgColor rgb="FFFAEA84"/>
          <bgColor rgb="FF000000"/>
        </patternFill>
      </fill>
    </dxf>
    <dxf>
      <fill>
        <patternFill patternType="solid">
          <fgColor rgb="FFFBEA84"/>
          <bgColor rgb="FF000000"/>
        </patternFill>
      </fill>
    </dxf>
    <dxf>
      <fill>
        <patternFill patternType="solid">
          <fgColor rgb="FFFDCC7E"/>
          <bgColor rgb="FF000000"/>
        </patternFill>
      </fill>
    </dxf>
    <dxf>
      <fill>
        <patternFill patternType="solid">
          <fgColor rgb="FFFDD17F"/>
          <bgColor rgb="FF000000"/>
        </patternFill>
      </fill>
    </dxf>
    <dxf>
      <fill>
        <patternFill patternType="solid">
          <fgColor rgb="FFFDD37F"/>
          <bgColor rgb="FF000000"/>
        </patternFill>
      </fill>
    </dxf>
    <dxf>
      <fill>
        <patternFill patternType="solid">
          <fgColor rgb="FFFDD780"/>
          <bgColor rgb="FF000000"/>
        </patternFill>
      </fill>
    </dxf>
    <dxf>
      <fill>
        <patternFill patternType="solid">
          <fgColor rgb="FFFEDC81"/>
          <bgColor rgb="FF000000"/>
        </patternFill>
      </fill>
    </dxf>
    <dxf>
      <fill>
        <patternFill patternType="solid">
          <fgColor rgb="FFFEDD81"/>
          <bgColor rgb="FF000000"/>
        </patternFill>
      </fill>
    </dxf>
    <dxf>
      <fill>
        <patternFill patternType="solid">
          <fgColor rgb="FFFEE482"/>
          <bgColor rgb="FF000000"/>
        </patternFill>
      </fill>
    </dxf>
    <dxf>
      <fill>
        <patternFill patternType="solid">
          <fgColor rgb="FFFEE783"/>
          <bgColor rgb="FF000000"/>
        </patternFill>
      </fill>
    </dxf>
    <dxf>
      <fill>
        <patternFill patternType="solid">
          <fgColor rgb="FFFEE883"/>
          <bgColor rgb="FF000000"/>
        </patternFill>
      </fill>
    </dxf>
    <dxf>
      <fill>
        <patternFill patternType="solid">
          <fgColor rgb="FFFEEA83"/>
          <bgColor rgb="FF000000"/>
        </patternFill>
      </fill>
    </dxf>
    <dxf>
      <fill>
        <patternFill patternType="solid">
          <fgColor rgb="FF66666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8"/>
    <col collapsed="false" customWidth="true" hidden="false" outlineLevel="0" max="3" min="3" style="0" width="13"/>
    <col collapsed="false" customWidth="true" hidden="false" outlineLevel="0" max="4" min="4" style="0" width="11"/>
    <col collapsed="false" customWidth="true" hidden="false" outlineLevel="0" max="6" min="5" style="0" width="10"/>
    <col collapsed="false" customWidth="true" hidden="false" outlineLevel="0" max="7" min="7" style="0" width="9"/>
    <col collapsed="false" customWidth="true" hidden="false" outlineLevel="0" max="8" min="8" style="0" width="70"/>
  </cols>
  <sheetData>
    <row r="1" customFormat="false" ht="24" hidden="false" customHeight="true" outlineLevel="0" collapsed="false">
      <c r="A1" s="1" t="s">
        <v>0</v>
      </c>
      <c r="B1" s="1" t="s">
        <v>1</v>
      </c>
      <c r="C1" s="1" t="s">
        <v>2</v>
      </c>
      <c r="D1" s="1" t="s">
        <v>3</v>
      </c>
      <c r="E1" s="1" t="s">
        <v>4</v>
      </c>
      <c r="F1" s="1" t="s">
        <v>5</v>
      </c>
      <c r="G1" s="1" t="s">
        <v>6</v>
      </c>
      <c r="H1" s="1" t="s">
        <v>7</v>
      </c>
    </row>
    <row r="2" customFormat="false" ht="43.25" hidden="false" customHeight="false" outlineLevel="0" collapsed="false">
      <c r="A2" s="2" t="s">
        <v>8</v>
      </c>
      <c r="B2" s="3" t="n">
        <v>3</v>
      </c>
      <c r="C2" s="4" t="n">
        <v>0.75</v>
      </c>
      <c r="D2" s="3"/>
      <c r="E2" s="5" t="n">
        <f aca="false">IF(AND(C2&lt;&gt;"",D2&lt;&gt;""),AVERAGE(C2,D2),IF(C2&lt;&gt;"",C2,""))</f>
        <v>0.75</v>
      </c>
      <c r="F2" s="4" t="n">
        <v>0.8</v>
      </c>
      <c r="G2" s="3" t="str">
        <f aca="false">IF(E2="","",IF(E2&lt;0.5,"Debil",IF(E2&lt;0.8,"Media","Fuerte")))</f>
        <v>Media</v>
      </c>
      <c r="H2" s="6" t="s">
        <v>9</v>
      </c>
    </row>
    <row r="3" customFormat="false" ht="147.75" hidden="false" customHeight="false" outlineLevel="0" collapsed="false">
      <c r="A3" s="2" t="s">
        <v>10</v>
      </c>
      <c r="B3" s="3" t="n">
        <v>4</v>
      </c>
      <c r="C3" s="4" t="n">
        <v>0.66125</v>
      </c>
      <c r="D3" s="3"/>
      <c r="E3" s="5" t="n">
        <f aca="false">IF(AND(C3&lt;&gt;"",D3&lt;&gt;""),AVERAGE(C3,D3),IF(C3&lt;&gt;"",C3,""))</f>
        <v>0.66125</v>
      </c>
      <c r="F3" s="4" t="n">
        <v>0.8</v>
      </c>
      <c r="G3" s="3" t="str">
        <f aca="false">IF(E3="","",IF(E3&lt;0.5,"Debil",IF(E3&lt;0.8,"Media","Fuerte")))</f>
        <v>Media</v>
      </c>
      <c r="H3" s="6" t="s">
        <v>11</v>
      </c>
    </row>
    <row r="4" customFormat="false" ht="22.35" hidden="false" customHeight="false" outlineLevel="0" collapsed="false">
      <c r="A4" s="2" t="s">
        <v>12</v>
      </c>
      <c r="B4" s="3" t="n">
        <v>0</v>
      </c>
      <c r="C4" s="3"/>
      <c r="D4" s="3"/>
      <c r="E4" s="7"/>
      <c r="F4" s="4" t="n">
        <v>0.8</v>
      </c>
      <c r="G4" s="3" t="str">
        <f aca="false">IF(E4="","",IF(E4&lt;0.5,"Debil",IF(E4&lt;0.8,"Media","Fuerte")))</f>
        <v/>
      </c>
      <c r="H4" s="6" t="s">
        <v>13</v>
      </c>
    </row>
    <row r="5" customFormat="false" ht="32.8" hidden="false" customHeight="false" outlineLevel="0" collapsed="false">
      <c r="A5" s="2" t="s">
        <v>14</v>
      </c>
      <c r="B5" s="3" t="n">
        <v>1</v>
      </c>
      <c r="C5" s="4" t="n">
        <v>0.7</v>
      </c>
      <c r="D5" s="3"/>
      <c r="E5" s="5" t="n">
        <f aca="false">IF(AND(C5&lt;&gt;"",D5&lt;&gt;""),AVERAGE(C5,D5),IF(C5&lt;&gt;"",C5,""))</f>
        <v>0.7</v>
      </c>
      <c r="F5" s="4" t="n">
        <v>0.8</v>
      </c>
      <c r="G5" s="3" t="str">
        <f aca="false">IF(E5="","",IF(E5&lt;0.5,"Debil",IF(E5&lt;0.8,"Media","Fuerte")))</f>
        <v>Media</v>
      </c>
      <c r="H5" s="6" t="s">
        <v>15</v>
      </c>
    </row>
    <row r="6" customFormat="false" ht="22.35" hidden="false" customHeight="false" outlineLevel="0" collapsed="false">
      <c r="A6" s="2" t="s">
        <v>16</v>
      </c>
      <c r="B6" s="3" t="n">
        <v>7</v>
      </c>
      <c r="C6" s="4" t="n">
        <v>0.759375</v>
      </c>
      <c r="D6" s="3"/>
      <c r="E6" s="5" t="n">
        <f aca="false">IF(AND(C6&lt;&gt;"",D6&lt;&gt;""),AVERAGE(C6,D6),IF(C6&lt;&gt;"",C6,""))</f>
        <v>0.759375</v>
      </c>
      <c r="F6" s="4" t="n">
        <v>0.8</v>
      </c>
      <c r="G6" s="3" t="str">
        <f aca="false">IF(E6="","",IF(E6&lt;0.5,"Debil",IF(E6&lt;0.8,"Media","Fuerte")))</f>
        <v>Media</v>
      </c>
      <c r="H6" s="6" t="s">
        <v>17</v>
      </c>
    </row>
    <row r="7" customFormat="false" ht="64.15" hidden="false" customHeight="false" outlineLevel="0" collapsed="false">
      <c r="A7" s="2" t="s">
        <v>18</v>
      </c>
      <c r="B7" s="3" t="n">
        <v>2</v>
      </c>
      <c r="C7" s="4" t="n">
        <v>0.84</v>
      </c>
      <c r="D7" s="3"/>
      <c r="E7" s="5" t="n">
        <f aca="false">IF(AND(C7&lt;&gt;"",D7&lt;&gt;""),AVERAGE(C7,D7),IF(C7&lt;&gt;"",C7,""))</f>
        <v>0.84</v>
      </c>
      <c r="F7" s="4" t="n">
        <v>0.8</v>
      </c>
      <c r="G7" s="3" t="str">
        <f aca="false">IF(E7="","",IF(E7&lt;0.5,"Debil",IF(E7&lt;0.8,"Media","Fuerte")))</f>
        <v>Fuerte</v>
      </c>
      <c r="H7" s="6" t="s">
        <v>19</v>
      </c>
    </row>
    <row r="8" customFormat="false" ht="53.7" hidden="false" customHeight="false" outlineLevel="0" collapsed="false">
      <c r="A8" s="2" t="s">
        <v>20</v>
      </c>
      <c r="B8" s="3" t="n">
        <v>4</v>
      </c>
      <c r="C8" s="4" t="n">
        <v>0.735</v>
      </c>
      <c r="D8" s="3"/>
      <c r="E8" s="5" t="n">
        <f aca="false">IF(AND(C8&lt;&gt;"",D8&lt;&gt;""),AVERAGE(C8,D8),IF(C8&lt;&gt;"",C8,""))</f>
        <v>0.735</v>
      </c>
      <c r="F8" s="4" t="n">
        <v>0.8</v>
      </c>
      <c r="G8" s="3" t="str">
        <f aca="false">IF(E8="","",IF(E8&lt;0.5,"Debil",IF(E8&lt;0.8,"Media","Fuerte")))</f>
        <v>Media</v>
      </c>
      <c r="H8" s="6" t="s">
        <v>21</v>
      </c>
    </row>
    <row r="9" customFormat="false" ht="22.35" hidden="false" customHeight="false" outlineLevel="0" collapsed="false">
      <c r="A9" s="2" t="s">
        <v>22</v>
      </c>
      <c r="B9" s="3" t="n">
        <v>2</v>
      </c>
      <c r="C9" s="4" t="n">
        <v>0.75</v>
      </c>
      <c r="D9" s="3"/>
      <c r="E9" s="5" t="n">
        <f aca="false">IF(AND(C9&lt;&gt;"",D9&lt;&gt;""),AVERAGE(C9,D9),IF(C9&lt;&gt;"",C9,""))</f>
        <v>0.75</v>
      </c>
      <c r="F9" s="4" t="n">
        <v>0.8</v>
      </c>
      <c r="G9" s="3" t="str">
        <f aca="false">IF(E9="","",IF(E9&lt;0.5,"Debil",IF(E9&lt;0.8,"Media","Fuerte")))</f>
        <v>Media</v>
      </c>
      <c r="H9" s="6" t="s">
        <v>23</v>
      </c>
    </row>
    <row r="10" customFormat="false" ht="126.85" hidden="false" customHeight="false" outlineLevel="0" collapsed="false">
      <c r="A10" s="2" t="s">
        <v>24</v>
      </c>
      <c r="B10" s="3" t="n">
        <v>3</v>
      </c>
      <c r="C10" s="4" t="n">
        <v>0.53</v>
      </c>
      <c r="D10" s="3"/>
      <c r="E10" s="5" t="n">
        <f aca="false">IF(AND(C10&lt;&gt;"",D10&lt;&gt;""),AVERAGE(C10,D10),IF(C10&lt;&gt;"",C10,""))</f>
        <v>0.53</v>
      </c>
      <c r="F10" s="4" t="n">
        <v>0.8</v>
      </c>
      <c r="G10" s="3" t="str">
        <f aca="false">IF(E10="","",IF(E10&lt;0.5,"Debil",IF(E10&lt;0.8,"Media","Fuerte")))</f>
        <v>Media</v>
      </c>
      <c r="H10" s="6" t="s">
        <v>25</v>
      </c>
    </row>
    <row r="11" customFormat="false" ht="32.8" hidden="false" customHeight="false" outlineLevel="0" collapsed="false">
      <c r="A11" s="2" t="s">
        <v>26</v>
      </c>
      <c r="B11" s="3" t="n">
        <v>4</v>
      </c>
      <c r="C11" s="4" t="n">
        <v>0.61875</v>
      </c>
      <c r="D11" s="3"/>
      <c r="E11" s="5" t="n">
        <f aca="false">IF(AND(C11&lt;&gt;"",D11&lt;&gt;""),AVERAGE(C11,D11),IF(C11&lt;&gt;"",C11,""))</f>
        <v>0.61875</v>
      </c>
      <c r="F11" s="4" t="n">
        <v>0.8</v>
      </c>
      <c r="G11" s="3" t="str">
        <f aca="false">IF(E11="","",IF(E11&lt;0.5,"Debil",IF(E11&lt;0.8,"Media","Fuerte")))</f>
        <v>Media</v>
      </c>
      <c r="H11" s="6" t="s">
        <v>27</v>
      </c>
    </row>
    <row r="12" customFormat="false" ht="22.35" hidden="false" customHeight="false" outlineLevel="0" collapsed="false">
      <c r="A12" s="2" t="s">
        <v>28</v>
      </c>
      <c r="B12" s="3" t="n">
        <v>7</v>
      </c>
      <c r="C12" s="4" t="n">
        <v>0.870938</v>
      </c>
      <c r="D12" s="3"/>
      <c r="E12" s="5" t="n">
        <f aca="false">IF(AND(C12&lt;&gt;"",D12&lt;&gt;""),AVERAGE(C12,D12),IF(C12&lt;&gt;"",C12,""))</f>
        <v>0.870938</v>
      </c>
      <c r="F12" s="4" t="n">
        <v>0.8</v>
      </c>
      <c r="G12" s="3" t="str">
        <f aca="false">IF(E12="","",IF(E12&lt;0.5,"Debil",IF(E12&lt;0.8,"Media","Fuerte")))</f>
        <v>Fuerte</v>
      </c>
      <c r="H12" s="6" t="s">
        <v>29</v>
      </c>
    </row>
    <row r="13" customFormat="false" ht="15" hidden="false" customHeight="false" outlineLevel="0" collapsed="false">
      <c r="A13" s="2" t="s">
        <v>30</v>
      </c>
      <c r="B13" s="3" t="n">
        <v>0</v>
      </c>
      <c r="C13" s="3"/>
      <c r="D13" s="3"/>
      <c r="E13" s="7"/>
      <c r="F13" s="4" t="n">
        <v>0.8</v>
      </c>
      <c r="G13" s="3" t="str">
        <f aca="false">IF(E13="","",IF(E13&lt;0.5,"Debil",IF(E13&lt;0.8,"Media","Fuerte")))</f>
        <v/>
      </c>
      <c r="H13" s="6"/>
    </row>
    <row r="14" customFormat="false" ht="32.8" hidden="false" customHeight="false" outlineLevel="0" collapsed="false">
      <c r="A14" s="2" t="s">
        <v>31</v>
      </c>
      <c r="B14" s="3" t="n">
        <v>5</v>
      </c>
      <c r="C14" s="4" t="n">
        <v>0.8625</v>
      </c>
      <c r="D14" s="3"/>
      <c r="E14" s="5" t="n">
        <f aca="false">IF(AND(C14&lt;&gt;"",D14&lt;&gt;""),AVERAGE(C14,D14),IF(C14&lt;&gt;"",C14,""))</f>
        <v>0.8625</v>
      </c>
      <c r="F14" s="4" t="n">
        <v>0.8</v>
      </c>
      <c r="G14" s="3" t="str">
        <f aca="false">IF(E14="","",IF(E14&lt;0.5,"Debil",IF(E14&lt;0.8,"Media","Fuerte")))</f>
        <v>Fuerte</v>
      </c>
      <c r="H14" s="6" t="s">
        <v>32</v>
      </c>
    </row>
    <row r="15" customFormat="false" ht="53.7" hidden="false" customHeight="false" outlineLevel="0" collapsed="false">
      <c r="A15" s="2" t="s">
        <v>33</v>
      </c>
      <c r="B15" s="3" t="n">
        <v>2</v>
      </c>
      <c r="C15" s="4" t="n">
        <v>0.9</v>
      </c>
      <c r="D15" s="3"/>
      <c r="E15" s="5" t="n">
        <f aca="false">IF(AND(C15&lt;&gt;"",D15&lt;&gt;""),AVERAGE(C15,D15),IF(C15&lt;&gt;"",C15,""))</f>
        <v>0.9</v>
      </c>
      <c r="F15" s="4" t="n">
        <v>0.8</v>
      </c>
      <c r="G15" s="3" t="str">
        <f aca="false">IF(E15="","",IF(E15&lt;0.5,"Debil",IF(E15&lt;0.8,"Media","Fuerte")))</f>
        <v>Fuerte</v>
      </c>
      <c r="H15" s="6" t="s">
        <v>34</v>
      </c>
    </row>
    <row r="16" customFormat="false" ht="15" hidden="false" customHeight="false" outlineLevel="0" collapsed="false">
      <c r="A16" s="2" t="s">
        <v>35</v>
      </c>
      <c r="B16" s="3" t="n">
        <v>0</v>
      </c>
      <c r="C16" s="3"/>
      <c r="D16" s="3"/>
      <c r="E16" s="7"/>
      <c r="F16" s="4" t="n">
        <v>0.8</v>
      </c>
      <c r="G16" s="3" t="str">
        <f aca="false">IF(E16="","",IF(E16&lt;0.5,"Debil",IF(E16&lt;0.8,"Media","Fuerte")))</f>
        <v/>
      </c>
      <c r="H16" s="6"/>
    </row>
    <row r="17" customFormat="false" ht="32.8" hidden="false" customHeight="false" outlineLevel="0" collapsed="false">
      <c r="A17" s="2" t="s">
        <v>36</v>
      </c>
      <c r="B17" s="3" t="n">
        <v>5</v>
      </c>
      <c r="C17" s="4" t="n">
        <v>0.828125</v>
      </c>
      <c r="D17" s="3"/>
      <c r="E17" s="5" t="n">
        <f aca="false">IF(AND(C17&lt;&gt;"",D17&lt;&gt;""),AVERAGE(C17,D17),IF(C17&lt;&gt;"",C17,""))</f>
        <v>0.828125</v>
      </c>
      <c r="F17" s="4" t="n">
        <v>0.8</v>
      </c>
      <c r="G17" s="3" t="str">
        <f aca="false">IF(E17="","",IF(E17&lt;0.5,"Debil",IF(E17&lt;0.8,"Media","Fuerte")))</f>
        <v>Fuerte</v>
      </c>
      <c r="H17" s="6" t="s">
        <v>37</v>
      </c>
    </row>
    <row r="18" customFormat="false" ht="283.55" hidden="false" customHeight="false" outlineLevel="0" collapsed="false">
      <c r="A18" s="2" t="s">
        <v>38</v>
      </c>
      <c r="B18" s="3" t="n">
        <v>8</v>
      </c>
      <c r="C18" s="4" t="n">
        <v>0.95125</v>
      </c>
      <c r="D18" s="4" t="n">
        <v>0.85</v>
      </c>
      <c r="E18" s="5" t="n">
        <f aca="false">IF(AND(C18&lt;&gt;"",D18&lt;&gt;""),AVERAGE(C18,D18),IF(C18&lt;&gt;"",C18,""))</f>
        <v>0.900625</v>
      </c>
      <c r="F18" s="4" t="n">
        <v>0.8</v>
      </c>
      <c r="G18" s="3" t="str">
        <f aca="false">IF(E18="","",IF(E18&lt;0.5,"Debil",IF(E18&lt;0.8,"Media","Fuerte")))</f>
        <v>Fuerte</v>
      </c>
      <c r="H18" s="6" t="s">
        <v>39</v>
      </c>
    </row>
    <row r="19" customFormat="false" ht="126.85" hidden="false" customHeight="false" outlineLevel="0" collapsed="false">
      <c r="A19" s="2" t="s">
        <v>40</v>
      </c>
      <c r="B19" s="3" t="n">
        <v>8</v>
      </c>
      <c r="C19" s="4" t="n">
        <v>0.741406</v>
      </c>
      <c r="D19" s="3"/>
      <c r="E19" s="5" t="n">
        <f aca="false">IF(AND(C19&lt;&gt;"",D19&lt;&gt;""),AVERAGE(C19,D19),IF(C19&lt;&gt;"",C19,""))</f>
        <v>0.741406</v>
      </c>
      <c r="F19" s="4" t="n">
        <v>0.8</v>
      </c>
      <c r="G19" s="3" t="str">
        <f aca="false">IF(E19="","",IF(E19&lt;0.5,"Debil",IF(E19&lt;0.8,"Media","Fuerte")))</f>
        <v>Media</v>
      </c>
      <c r="H19" s="6" t="s">
        <v>41</v>
      </c>
    </row>
    <row r="20" customFormat="false" ht="15" hidden="false" customHeight="false" outlineLevel="0" collapsed="false">
      <c r="A20" s="2" t="s">
        <v>42</v>
      </c>
      <c r="B20" s="3" t="n">
        <v>0</v>
      </c>
      <c r="C20" s="3"/>
      <c r="D20" s="3"/>
      <c r="E20" s="7"/>
      <c r="F20" s="4" t="n">
        <v>0.8</v>
      </c>
      <c r="G20" s="3" t="str">
        <f aca="false">IF(E20="","",IF(E20&lt;0.5,"Debil",IF(E20&lt;0.8,"Media","Fuerte")))</f>
        <v/>
      </c>
      <c r="H20" s="6" t="s">
        <v>43</v>
      </c>
    </row>
    <row r="21" customFormat="false" ht="126.85" hidden="false" customHeight="false" outlineLevel="0" collapsed="false">
      <c r="A21" s="2" t="s">
        <v>44</v>
      </c>
      <c r="B21" s="3" t="n">
        <v>4</v>
      </c>
      <c r="C21" s="4" t="n">
        <v>0.55375</v>
      </c>
      <c r="D21" s="3"/>
      <c r="E21" s="5" t="n">
        <f aca="false">IF(AND(C21&lt;&gt;"",D21&lt;&gt;""),AVERAGE(C21,D21),IF(C21&lt;&gt;"",C21,""))</f>
        <v>0.55375</v>
      </c>
      <c r="F21" s="4" t="n">
        <v>0.8</v>
      </c>
      <c r="G21" s="3" t="str">
        <f aca="false">IF(E21="","",IF(E21&lt;0.5,"Debil",IF(E21&lt;0.8,"Media","Fuerte")))</f>
        <v>Media</v>
      </c>
      <c r="H21" s="6" t="s">
        <v>45</v>
      </c>
    </row>
    <row r="22" customFormat="false" ht="32.8" hidden="false" customHeight="false" outlineLevel="0" collapsed="false">
      <c r="A22" s="2" t="s">
        <v>46</v>
      </c>
      <c r="B22" s="3" t="n">
        <v>5</v>
      </c>
      <c r="C22" s="4" t="n">
        <v>0.645</v>
      </c>
      <c r="D22" s="3"/>
      <c r="E22" s="5" t="n">
        <f aca="false">IF(AND(C22&lt;&gt;"",D22&lt;&gt;""),AVERAGE(C22,D22),IF(C22&lt;&gt;"",C22,""))</f>
        <v>0.645</v>
      </c>
      <c r="F22" s="4" t="n">
        <v>0.8</v>
      </c>
      <c r="G22" s="3" t="str">
        <f aca="false">IF(E22="","",IF(E22&lt;0.5,"Debil",IF(E22&lt;0.8,"Media","Fuerte")))</f>
        <v>Media</v>
      </c>
      <c r="H22" s="6" t="s">
        <v>47</v>
      </c>
    </row>
    <row r="23" customFormat="false" ht="15" hidden="false" customHeight="false" outlineLevel="0" collapsed="false">
      <c r="A23" s="2" t="s">
        <v>48</v>
      </c>
      <c r="B23" s="3" t="n">
        <v>0</v>
      </c>
      <c r="C23" s="3"/>
      <c r="D23" s="3"/>
      <c r="E23" s="7"/>
      <c r="F23" s="4" t="n">
        <v>0.8</v>
      </c>
      <c r="G23" s="3" t="str">
        <f aca="false">IF(E23="","",IF(E23&lt;0.5,"Debil",IF(E23&lt;0.8,"Media","Fuerte")))</f>
        <v/>
      </c>
      <c r="H23" s="6"/>
    </row>
    <row r="24" customFormat="false" ht="43.25" hidden="false" customHeight="false" outlineLevel="0" collapsed="false">
      <c r="A24" s="2" t="s">
        <v>49</v>
      </c>
      <c r="B24" s="3" t="n">
        <v>2</v>
      </c>
      <c r="C24" s="4" t="n">
        <v>0.5</v>
      </c>
      <c r="D24" s="3"/>
      <c r="E24" s="5" t="n">
        <f aca="false">IF(AND(C24&lt;&gt;"",D24&lt;&gt;""),AVERAGE(C24,D24),IF(C24&lt;&gt;"",C24,""))</f>
        <v>0.5</v>
      </c>
      <c r="F24" s="4" t="n">
        <v>0.8</v>
      </c>
      <c r="G24" s="3" t="str">
        <f aca="false">IF(E24="","",IF(E24&lt;0.5,"Debil",IF(E24&lt;0.8,"Media","Fuerte")))</f>
        <v>Media</v>
      </c>
      <c r="H24" s="6" t="s">
        <v>50</v>
      </c>
    </row>
    <row r="25" customFormat="false" ht="15" hidden="false" customHeight="false" outlineLevel="0" collapsed="false">
      <c r="A25" s="2" t="s">
        <v>51</v>
      </c>
      <c r="B25" s="3" t="n">
        <v>0</v>
      </c>
      <c r="C25" s="3"/>
      <c r="D25" s="3"/>
      <c r="E25" s="7"/>
      <c r="F25" s="4" t="n">
        <v>0.8</v>
      </c>
      <c r="G25" s="3" t="str">
        <f aca="false">IF(E25="","",IF(E25&lt;0.5,"Debil",IF(E25&lt;0.8,"Media","Fuerte")))</f>
        <v/>
      </c>
      <c r="H25" s="6"/>
    </row>
    <row r="26" customFormat="false" ht="22.35" hidden="false" customHeight="false" outlineLevel="0" collapsed="false">
      <c r="A26" s="2" t="s">
        <v>52</v>
      </c>
      <c r="B26" s="3" t="n">
        <v>0</v>
      </c>
      <c r="C26" s="3"/>
      <c r="D26" s="3"/>
      <c r="E26" s="7"/>
      <c r="F26" s="4" t="n">
        <v>0.8</v>
      </c>
      <c r="G26" s="3" t="str">
        <f aca="false">IF(E26="","",IF(E26&lt;0.5,"Debil",IF(E26&lt;0.8,"Media","Fuerte")))</f>
        <v/>
      </c>
      <c r="H26" s="6" t="s">
        <v>53</v>
      </c>
    </row>
    <row r="27" customFormat="false" ht="74.6" hidden="false" customHeight="false" outlineLevel="0" collapsed="false">
      <c r="A27" s="2" t="s">
        <v>54</v>
      </c>
      <c r="B27" s="3" t="n">
        <v>2</v>
      </c>
      <c r="C27" s="4" t="n">
        <v>0.85</v>
      </c>
      <c r="D27" s="3"/>
      <c r="E27" s="5" t="n">
        <f aca="false">IF(AND(C27&lt;&gt;"",D27&lt;&gt;""),AVERAGE(C27,D27),IF(C27&lt;&gt;"",C27,""))</f>
        <v>0.85</v>
      </c>
      <c r="F27" s="4" t="n">
        <v>0.8</v>
      </c>
      <c r="G27" s="3" t="str">
        <f aca="false">IF(E27="","",IF(E27&lt;0.5,"Debil",IF(E27&lt;0.8,"Media","Fuerte")))</f>
        <v>Fuerte</v>
      </c>
      <c r="H27" s="6" t="s">
        <v>55</v>
      </c>
    </row>
    <row r="28" customFormat="false" ht="32.8" hidden="false" customHeight="false" outlineLevel="0" collapsed="false">
      <c r="A28" s="2" t="s">
        <v>56</v>
      </c>
      <c r="B28" s="3" t="n">
        <v>6</v>
      </c>
      <c r="C28" s="4" t="n">
        <v>0.660938</v>
      </c>
      <c r="D28" s="3"/>
      <c r="E28" s="5" t="n">
        <f aca="false">IF(AND(C28&lt;&gt;"",D28&lt;&gt;""),AVERAGE(C28,D28),IF(C28&lt;&gt;"",C28,""))</f>
        <v>0.660938</v>
      </c>
      <c r="F28" s="4" t="n">
        <v>0.8</v>
      </c>
      <c r="G28" s="3" t="str">
        <f aca="false">IF(E28="","",IF(E28&lt;0.5,"Debil",IF(E28&lt;0.8,"Media","Fuerte")))</f>
        <v>Media</v>
      </c>
      <c r="H28" s="6" t="s">
        <v>57</v>
      </c>
    </row>
    <row r="29" customFormat="false" ht="105.95" hidden="false" customHeight="false" outlineLevel="0" collapsed="false">
      <c r="A29" s="2" t="s">
        <v>58</v>
      </c>
      <c r="B29" s="3" t="n">
        <v>12</v>
      </c>
      <c r="C29" s="4" t="n">
        <v>0.7093555</v>
      </c>
      <c r="D29" s="4" t="n">
        <v>0.85</v>
      </c>
      <c r="E29" s="5" t="n">
        <f aca="false">IF(AND(C29&lt;&gt;"",D29&lt;&gt;""),AVERAGE(C29,D29),IF(C29&lt;&gt;"",C29,""))</f>
        <v>0.77967775</v>
      </c>
      <c r="F29" s="4" t="n">
        <v>0.8</v>
      </c>
      <c r="G29" s="3" t="str">
        <f aca="false">IF(E29="","",IF(E29&lt;0.5,"Debil",IF(E29&lt;0.8,"Media","Fuerte")))</f>
        <v>Media</v>
      </c>
      <c r="H29" s="6" t="s">
        <v>59</v>
      </c>
    </row>
    <row r="30" customFormat="false" ht="22.35" hidden="false" customHeight="false" outlineLevel="0" collapsed="false">
      <c r="A30" s="2" t="s">
        <v>60</v>
      </c>
      <c r="B30" s="3" t="n">
        <v>0</v>
      </c>
      <c r="C30" s="3"/>
      <c r="D30" s="3"/>
      <c r="E30" s="7"/>
      <c r="F30" s="4" t="n">
        <v>0.8</v>
      </c>
      <c r="G30" s="3" t="str">
        <f aca="false">IF(E30="","",IF(E30&lt;0.5,"Debil",IF(E30&lt;0.8,"Media","Fuerte")))</f>
        <v/>
      </c>
      <c r="H30" s="6" t="s">
        <v>61</v>
      </c>
    </row>
    <row r="31" customFormat="false" ht="105.95" hidden="false" customHeight="false" outlineLevel="0" collapsed="false">
      <c r="A31" s="2" t="s">
        <v>62</v>
      </c>
      <c r="B31" s="3" t="n">
        <v>3</v>
      </c>
      <c r="C31" s="4" t="n">
        <v>0.75</v>
      </c>
      <c r="D31" s="3"/>
      <c r="E31" s="5" t="n">
        <v>0.8</v>
      </c>
      <c r="F31" s="4" t="n">
        <v>0.8</v>
      </c>
      <c r="G31" s="3" t="str">
        <f aca="false">IF(E31="","",IF(E31&lt;0.5,"Debil",IF(E31&lt;0.8,"Media","Fuerte")))</f>
        <v>Fuerte</v>
      </c>
      <c r="H31" s="6" t="s">
        <v>63</v>
      </c>
    </row>
    <row r="32" customFormat="false" ht="95.5" hidden="false" customHeight="false" outlineLevel="0" collapsed="false">
      <c r="A32" s="2" t="s">
        <v>64</v>
      </c>
      <c r="B32" s="3" t="n">
        <v>5</v>
      </c>
      <c r="C32" s="4" t="n">
        <v>0.71125</v>
      </c>
      <c r="D32" s="4" t="n">
        <v>0.9</v>
      </c>
      <c r="E32" s="5" t="n">
        <f aca="false">IF(AND(C32&lt;&gt;"",D32&lt;&gt;""),AVERAGE(C32,D32),IF(C32&lt;&gt;"",C32,""))</f>
        <v>0.805625</v>
      </c>
      <c r="F32" s="4" t="n">
        <v>0.8</v>
      </c>
      <c r="G32" s="3" t="str">
        <f aca="false">IF(E32="","",IF(E32&lt;0.5,"Debil",IF(E32&lt;0.8,"Media","Fuerte")))</f>
        <v>Fuerte</v>
      </c>
      <c r="H32" s="6" t="s">
        <v>65</v>
      </c>
    </row>
    <row r="33" customFormat="false" ht="64.15" hidden="false" customHeight="false" outlineLevel="0" collapsed="false">
      <c r="A33" s="2" t="s">
        <v>66</v>
      </c>
      <c r="B33" s="3" t="n">
        <v>10</v>
      </c>
      <c r="C33" s="4" t="n">
        <v>0.693418</v>
      </c>
      <c r="D33" s="3"/>
      <c r="E33" s="5" t="n">
        <f aca="false">IF(AND(C33&lt;&gt;"",D33&lt;&gt;""),AVERAGE(C33,D33),IF(C33&lt;&gt;"",C33,""))</f>
        <v>0.693418</v>
      </c>
      <c r="F33" s="4" t="n">
        <v>0.8</v>
      </c>
      <c r="G33" s="3" t="str">
        <f aca="false">IF(E33="","",IF(E33&lt;0.5,"Debil",IF(E33&lt;0.8,"Media","Fuerte")))</f>
        <v>Media</v>
      </c>
      <c r="H33" s="6" t="s">
        <v>67</v>
      </c>
    </row>
    <row r="34" customFormat="false" ht="64.15" hidden="false" customHeight="false" outlineLevel="0" collapsed="false">
      <c r="A34" s="2" t="s">
        <v>68</v>
      </c>
      <c r="B34" s="3" t="n">
        <v>3</v>
      </c>
      <c r="C34" s="4" t="n">
        <v>0.705</v>
      </c>
      <c r="D34" s="3"/>
      <c r="E34" s="5" t="n">
        <f aca="false">IF(AND(C34&lt;&gt;"",D34&lt;&gt;""),AVERAGE(C34,D34),IF(C34&lt;&gt;"",C34,""))</f>
        <v>0.705</v>
      </c>
      <c r="F34" s="4" t="n">
        <v>0.8</v>
      </c>
      <c r="G34" s="3" t="str">
        <f aca="false">IF(E34="","",IF(E34&lt;0.5,"Debil",IF(E34&lt;0.8,"Media","Fuerte")))</f>
        <v>Media</v>
      </c>
      <c r="H34" s="6" t="s">
        <v>69</v>
      </c>
    </row>
    <row r="35" customFormat="false" ht="158.2" hidden="false" customHeight="false" outlineLevel="0" collapsed="false">
      <c r="A35" s="2" t="s">
        <v>70</v>
      </c>
      <c r="B35" s="3" t="n">
        <v>4</v>
      </c>
      <c r="C35" s="4" t="n">
        <v>0.59</v>
      </c>
      <c r="D35" s="4" t="n">
        <v>0.68</v>
      </c>
      <c r="E35" s="5" t="n">
        <f aca="false">IF(AND(C35&lt;&gt;"",D35&lt;&gt;""),AVERAGE(C35,D35),IF(C35&lt;&gt;"",C35,""))</f>
        <v>0.635</v>
      </c>
      <c r="F35" s="4" t="n">
        <v>0.8</v>
      </c>
      <c r="G35" s="3" t="str">
        <f aca="false">IF(E35="","",IF(E35&lt;0.5,"Debil",IF(E35&lt;0.8,"Media","Fuerte")))</f>
        <v>Media</v>
      </c>
      <c r="H35" s="6" t="s">
        <v>71</v>
      </c>
    </row>
    <row r="36" customFormat="false" ht="15" hidden="false" customHeight="false" outlineLevel="0" collapsed="false">
      <c r="A36" s="2" t="s">
        <v>72</v>
      </c>
      <c r="B36" s="3" t="n">
        <v>0</v>
      </c>
      <c r="C36" s="3"/>
      <c r="D36" s="3"/>
      <c r="E36" s="7"/>
      <c r="F36" s="4" t="n">
        <v>0.8</v>
      </c>
      <c r="G36" s="3" t="str">
        <f aca="false">IF(E36="","",IF(E36&lt;0.5,"Debil",IF(E36&lt;0.8,"Media","Fuerte")))</f>
        <v/>
      </c>
      <c r="H36" s="6"/>
    </row>
    <row r="37" customFormat="false" ht="15" hidden="false" customHeight="false" outlineLevel="0" collapsed="false">
      <c r="A37" s="2" t="s">
        <v>73</v>
      </c>
      <c r="B37" s="3" t="n">
        <v>0</v>
      </c>
      <c r="C37" s="3"/>
      <c r="D37" s="3"/>
      <c r="E37" s="7"/>
      <c r="F37" s="4" t="n">
        <v>0.8</v>
      </c>
      <c r="G37" s="3" t="str">
        <f aca="false">IF(E37="","",IF(E37&lt;0.5,"Debil",IF(E37&lt;0.8,"Media","Fuerte")))</f>
        <v/>
      </c>
      <c r="H37" s="6"/>
    </row>
    <row r="38" customFormat="false" ht="15" hidden="false" customHeight="false" outlineLevel="0" collapsed="false">
      <c r="A38" s="2" t="s">
        <v>74</v>
      </c>
      <c r="B38" s="3" t="n">
        <v>0</v>
      </c>
      <c r="C38" s="3"/>
      <c r="D38" s="3"/>
      <c r="E38" s="7"/>
      <c r="F38" s="4" t="n">
        <v>0.8</v>
      </c>
      <c r="G38" s="3" t="str">
        <f aca="false">IF(E38="","",IF(E38&lt;0.5,"Debil",IF(E38&lt;0.8,"Media","Fuerte")))</f>
        <v/>
      </c>
      <c r="H38" s="6"/>
    </row>
    <row r="39" customFormat="false" ht="22.35" hidden="false" customHeight="false" outlineLevel="0" collapsed="false">
      <c r="A39" s="2" t="s">
        <v>75</v>
      </c>
      <c r="B39" s="3" t="n">
        <v>1</v>
      </c>
      <c r="C39" s="4" t="n">
        <v>0.68</v>
      </c>
      <c r="D39" s="3"/>
      <c r="E39" s="5" t="n">
        <f aca="false">IF(AND(C39&lt;&gt;"",D39&lt;&gt;""),AVERAGE(C39,D39),IF(C39&lt;&gt;"",C39,""))</f>
        <v>0.68</v>
      </c>
      <c r="F39" s="4" t="n">
        <v>0.8</v>
      </c>
      <c r="G39" s="3" t="str">
        <f aca="false">IF(E39="","",IF(E39&lt;0.5,"Debil",IF(E39&lt;0.8,"Media","Fuerte")))</f>
        <v>Media</v>
      </c>
      <c r="H39" s="6" t="s">
        <v>76</v>
      </c>
    </row>
    <row r="40" customFormat="false" ht="32.8" hidden="false" customHeight="false" outlineLevel="0" collapsed="false">
      <c r="A40" s="2" t="s">
        <v>77</v>
      </c>
      <c r="B40" s="3" t="n">
        <v>3</v>
      </c>
      <c r="C40" s="4" t="n">
        <v>0.8</v>
      </c>
      <c r="D40" s="3"/>
      <c r="E40" s="5" t="n">
        <f aca="false">IF(AND(C40&lt;&gt;"",D40&lt;&gt;""),AVERAGE(C40,D40),IF(C40&lt;&gt;"",C40,""))</f>
        <v>0.8</v>
      </c>
      <c r="F40" s="4" t="n">
        <v>0.8</v>
      </c>
      <c r="G40" s="3" t="str">
        <f aca="false">IF(E40="","",IF(E40&lt;0.5,"Debil",IF(E40&lt;0.8,"Media","Fuerte")))</f>
        <v>Fuerte</v>
      </c>
      <c r="H40" s="6" t="s">
        <v>78</v>
      </c>
    </row>
    <row r="41" customFormat="false" ht="64.15" hidden="false" customHeight="false" outlineLevel="0" collapsed="false">
      <c r="A41" s="2" t="s">
        <v>79</v>
      </c>
      <c r="B41" s="3" t="n">
        <v>4</v>
      </c>
      <c r="C41" s="4" t="n">
        <v>0.825</v>
      </c>
      <c r="D41" s="3"/>
      <c r="E41" s="5" t="n">
        <f aca="false">IF(AND(C41&lt;&gt;"",D41&lt;&gt;""),AVERAGE(C41,D41),IF(C41&lt;&gt;"",C41,""))</f>
        <v>0.825</v>
      </c>
      <c r="F41" s="4" t="n">
        <v>0.8</v>
      </c>
      <c r="G41" s="3" t="str">
        <f aca="false">IF(E41="","",IF(E41&lt;0.5,"Debil",IF(E41&lt;0.8,"Media","Fuerte")))</f>
        <v>Fuerte</v>
      </c>
      <c r="H41" s="6" t="s">
        <v>80</v>
      </c>
    </row>
    <row r="42" customFormat="false" ht="116.4" hidden="false" customHeight="false" outlineLevel="0" collapsed="false">
      <c r="A42" s="2" t="s">
        <v>81</v>
      </c>
      <c r="B42" s="3" t="n">
        <v>4</v>
      </c>
      <c r="C42" s="4" t="n">
        <v>0.6325</v>
      </c>
      <c r="D42" s="3"/>
      <c r="E42" s="5" t="n">
        <f aca="false">IF(AND(C42&lt;&gt;"",D42&lt;&gt;""),AVERAGE(C42,D42),IF(C42&lt;&gt;"",C42,""))</f>
        <v>0.6325</v>
      </c>
      <c r="F42" s="4" t="n">
        <v>0.8</v>
      </c>
      <c r="G42" s="3" t="str">
        <f aca="false">IF(E42="","",IF(E42&lt;0.5,"Debil",IF(E42&lt;0.8,"Media","Fuerte")))</f>
        <v>Media</v>
      </c>
      <c r="H42" s="6" t="s">
        <v>82</v>
      </c>
    </row>
    <row r="43" customFormat="false" ht="32.8" hidden="false" customHeight="false" outlineLevel="0" collapsed="false">
      <c r="A43" s="2" t="s">
        <v>83</v>
      </c>
      <c r="B43" s="3" t="n">
        <v>3</v>
      </c>
      <c r="C43" s="4" t="n">
        <v>0.9</v>
      </c>
      <c r="D43" s="3"/>
      <c r="E43" s="5" t="n">
        <f aca="false">IF(AND(C43&lt;&gt;"",D43&lt;&gt;""),AVERAGE(C43,D43),IF(C43&lt;&gt;"",C43,""))</f>
        <v>0.9</v>
      </c>
      <c r="F43" s="4" t="n">
        <v>0.8</v>
      </c>
      <c r="G43" s="3" t="str">
        <f aca="false">IF(E43="","",IF(E43&lt;0.5,"Debil",IF(E43&lt;0.8,"Media","Fuerte")))</f>
        <v>Fuerte</v>
      </c>
      <c r="H43" s="6" t="s">
        <v>84</v>
      </c>
    </row>
    <row r="44" customFormat="false" ht="15" hidden="false" customHeight="false" outlineLevel="0" collapsed="false">
      <c r="A44" s="2" t="s">
        <v>85</v>
      </c>
      <c r="B44" s="3" t="n">
        <v>0</v>
      </c>
      <c r="C44" s="3"/>
      <c r="D44" s="3"/>
      <c r="E44" s="7"/>
      <c r="F44" s="4" t="n">
        <v>0.8</v>
      </c>
      <c r="G44" s="3" t="str">
        <f aca="false">IF(E44="","",IF(E44&lt;0.5,"Debil",IF(E44&lt;0.8,"Media","Fuerte")))</f>
        <v/>
      </c>
      <c r="H44" s="6"/>
    </row>
    <row r="45" customFormat="false" ht="15" hidden="false" customHeight="false" outlineLevel="0" collapsed="false">
      <c r="A45" s="2" t="s">
        <v>86</v>
      </c>
      <c r="B45" s="3" t="n">
        <v>0</v>
      </c>
      <c r="C45" s="3"/>
      <c r="D45" s="3"/>
      <c r="E45" s="7"/>
      <c r="F45" s="4" t="n">
        <v>0.8</v>
      </c>
      <c r="G45" s="3" t="str">
        <f aca="false">IF(E45="","",IF(E45&lt;0.5,"Debil",IF(E45&lt;0.8,"Media","Fuerte")))</f>
        <v/>
      </c>
      <c r="H45" s="6"/>
    </row>
    <row r="46" customFormat="false" ht="199.95" hidden="false" customHeight="false" outlineLevel="0" collapsed="false">
      <c r="A46" s="2" t="s">
        <v>87</v>
      </c>
      <c r="B46" s="3" t="n">
        <v>6</v>
      </c>
      <c r="C46" s="4" t="n">
        <v>0.5625</v>
      </c>
      <c r="D46" s="4" t="n">
        <v>0.6</v>
      </c>
      <c r="E46" s="5" t="n">
        <f aca="false">IF(AND(C46&lt;&gt;"",D46&lt;&gt;""),AVERAGE(C46,D46),IF(C46&lt;&gt;"",C46,""))</f>
        <v>0.58125</v>
      </c>
      <c r="F46" s="4" t="n">
        <v>0.8</v>
      </c>
      <c r="G46" s="3" t="str">
        <f aca="false">IF(E46="","",IF(E46&lt;0.5,"Debil",IF(E46&lt;0.8,"Media","Fuerte")))</f>
        <v>Media</v>
      </c>
      <c r="H46" s="6" t="s">
        <v>88</v>
      </c>
    </row>
    <row r="47" customFormat="false" ht="53.7" hidden="false" customHeight="false" outlineLevel="0" collapsed="false">
      <c r="A47" s="2" t="s">
        <v>89</v>
      </c>
      <c r="B47" s="3" t="n">
        <v>8</v>
      </c>
      <c r="C47" s="4" t="n">
        <v>0.785938</v>
      </c>
      <c r="D47" s="3"/>
      <c r="E47" s="5" t="n">
        <f aca="false">IF(AND(C47&lt;&gt;"",D47&lt;&gt;""),AVERAGE(C47,D47),IF(C47&lt;&gt;"",C47,""))</f>
        <v>0.785938</v>
      </c>
      <c r="F47" s="4" t="n">
        <v>0.8</v>
      </c>
      <c r="G47" s="3" t="str">
        <f aca="false">IF(E47="","",IF(E47&lt;0.5,"Debil",IF(E47&lt;0.8,"Media","Fuerte")))</f>
        <v>Media</v>
      </c>
      <c r="H47" s="6" t="s">
        <v>90</v>
      </c>
    </row>
    <row r="48" customFormat="false" ht="95.5" hidden="false" customHeight="false" outlineLevel="0" collapsed="false">
      <c r="A48" s="2" t="s">
        <v>91</v>
      </c>
      <c r="B48" s="3" t="n">
        <v>6</v>
      </c>
      <c r="C48" s="4" t="n">
        <v>0.6475</v>
      </c>
      <c r="D48" s="3"/>
      <c r="E48" s="5" t="n">
        <f aca="false">IF(AND(C48&lt;&gt;"",D48&lt;&gt;""),AVERAGE(C48,D48),IF(C48&lt;&gt;"",C48,""))</f>
        <v>0.6475</v>
      </c>
      <c r="F48" s="4" t="n">
        <v>0.8</v>
      </c>
      <c r="G48" s="3" t="str">
        <f aca="false">IF(E48="","",IF(E48&lt;0.5,"Debil",IF(E48&lt;0.8,"Media","Fuerte")))</f>
        <v>Media</v>
      </c>
      <c r="H48" s="6" t="s">
        <v>92</v>
      </c>
    </row>
    <row r="49" customFormat="false" ht="168.65" hidden="false" customHeight="false" outlineLevel="0" collapsed="false">
      <c r="A49" s="2" t="s">
        <v>93</v>
      </c>
      <c r="B49" s="3" t="n">
        <v>7</v>
      </c>
      <c r="C49" s="4" t="n">
        <v>0.58</v>
      </c>
      <c r="D49" s="3"/>
      <c r="E49" s="5" t="n">
        <f aca="false">IF(AND(C49&lt;&gt;"",D49&lt;&gt;""),AVERAGE(C49,D49),IF(C49&lt;&gt;"",C49,""))</f>
        <v>0.58</v>
      </c>
      <c r="F49" s="4" t="n">
        <v>0.8</v>
      </c>
      <c r="G49" s="3" t="str">
        <f aca="false">IF(E49="","",IF(E49&lt;0.5,"Debil",IF(E49&lt;0.8,"Media","Fuerte")))</f>
        <v>Media</v>
      </c>
      <c r="H49" s="6" t="s">
        <v>94</v>
      </c>
    </row>
    <row r="50" customFormat="false" ht="32.8" hidden="false" customHeight="false" outlineLevel="0" collapsed="false">
      <c r="A50" s="2" t="s">
        <v>95</v>
      </c>
      <c r="B50" s="3" t="n">
        <v>4</v>
      </c>
      <c r="C50" s="4" t="n">
        <v>0.6375</v>
      </c>
      <c r="D50" s="3"/>
      <c r="E50" s="5" t="n">
        <f aca="false">IF(AND(C50&lt;&gt;"",D50&lt;&gt;""),AVERAGE(C50,D50),IF(C50&lt;&gt;"",C50,""))</f>
        <v>0.6375</v>
      </c>
      <c r="F50" s="4" t="n">
        <v>0.8</v>
      </c>
      <c r="G50" s="3" t="str">
        <f aca="false">IF(E50="","",IF(E50&lt;0.5,"Debil",IF(E50&lt;0.8,"Media","Fuerte")))</f>
        <v>Media</v>
      </c>
      <c r="H50" s="6" t="s">
        <v>96</v>
      </c>
    </row>
    <row r="51" customFormat="false" ht="15" hidden="false" customHeight="false" outlineLevel="0" collapsed="false">
      <c r="A51" s="2" t="s">
        <v>97</v>
      </c>
      <c r="B51" s="3" t="n">
        <v>0</v>
      </c>
      <c r="C51" s="3"/>
      <c r="D51" s="3"/>
      <c r="E51" s="7"/>
      <c r="F51" s="4" t="n">
        <v>0.8</v>
      </c>
      <c r="G51" s="3" t="str">
        <f aca="false">IF(E51="","",IF(E51&lt;0.5,"Debil",IF(E51&lt;0.8,"Media","Fuerte")))</f>
        <v/>
      </c>
      <c r="H51" s="6" t="s">
        <v>98</v>
      </c>
    </row>
    <row r="52" customFormat="false" ht="15" hidden="false" customHeight="false" outlineLevel="0" collapsed="false">
      <c r="A52" s="2" t="s">
        <v>99</v>
      </c>
      <c r="B52" s="3" t="n">
        <v>0</v>
      </c>
      <c r="C52" s="3"/>
      <c r="D52" s="3"/>
      <c r="E52" s="7"/>
      <c r="F52" s="4" t="n">
        <v>0.8</v>
      </c>
      <c r="G52" s="3" t="str">
        <f aca="false">IF(E52="","",IF(E52&lt;0.5,"Debil",IF(E52&lt;0.8,"Media","Fuerte")))</f>
        <v/>
      </c>
      <c r="H52" s="6" t="s">
        <v>100</v>
      </c>
    </row>
    <row r="53" customFormat="false" ht="15" hidden="false" customHeight="false" outlineLevel="0" collapsed="false">
      <c r="A53" s="2" t="s">
        <v>101</v>
      </c>
      <c r="B53" s="3" t="n">
        <v>0</v>
      </c>
      <c r="C53" s="3"/>
      <c r="D53" s="3"/>
      <c r="E53" s="7"/>
      <c r="F53" s="4" t="n">
        <v>0.8</v>
      </c>
      <c r="G53" s="3" t="str">
        <f aca="false">IF(E53="","",IF(E53&lt;0.5,"Debil",IF(E53&lt;0.8,"Media","Fuerte")))</f>
        <v/>
      </c>
      <c r="H53" s="6" t="s">
        <v>100</v>
      </c>
    </row>
    <row r="54" customFormat="false" ht="15" hidden="false" customHeight="false" outlineLevel="0" collapsed="false">
      <c r="A54" s="2" t="s">
        <v>102</v>
      </c>
      <c r="B54" s="3" t="n">
        <v>0</v>
      </c>
      <c r="C54" s="3"/>
      <c r="D54" s="3"/>
      <c r="E54" s="7"/>
      <c r="F54" s="4" t="n">
        <v>0.8</v>
      </c>
      <c r="G54" s="3" t="str">
        <f aca="false">IF(E54="","",IF(E54&lt;0.5,"Debil",IF(E54&lt;0.8,"Media","Fuerte")))</f>
        <v/>
      </c>
      <c r="H54" s="6" t="s">
        <v>100</v>
      </c>
    </row>
    <row r="55" customFormat="false" ht="15" hidden="false" customHeight="false" outlineLevel="0" collapsed="false">
      <c r="A55" s="2" t="s">
        <v>103</v>
      </c>
      <c r="B55" s="3" t="n">
        <v>0</v>
      </c>
      <c r="C55" s="3"/>
      <c r="D55" s="3"/>
      <c r="E55" s="7"/>
      <c r="F55" s="4" t="n">
        <v>0.8</v>
      </c>
      <c r="G55" s="3" t="str">
        <f aca="false">IF(E55="","",IF(E55&lt;0.5,"Debil",IF(E55&lt;0.8,"Media","Fuerte")))</f>
        <v/>
      </c>
      <c r="H55" s="6" t="s">
        <v>104</v>
      </c>
    </row>
    <row r="56" customFormat="false" ht="137.3" hidden="false" customHeight="false" outlineLevel="0" collapsed="false">
      <c r="A56" s="2" t="s">
        <v>105</v>
      </c>
      <c r="B56" s="3" t="n">
        <v>4</v>
      </c>
      <c r="C56" s="4" t="n">
        <v>0.52</v>
      </c>
      <c r="D56" s="3"/>
      <c r="E56" s="5" t="n">
        <f aca="false">IF(AND(C56&lt;&gt;"",D56&lt;&gt;""),AVERAGE(C56,D56),IF(C56&lt;&gt;"",C56,""))</f>
        <v>0.52</v>
      </c>
      <c r="F56" s="4" t="n">
        <v>0.8</v>
      </c>
      <c r="G56" s="3" t="str">
        <f aca="false">IF(E56="","",IF(E56&lt;0.5,"Debil",IF(E56&lt;0.8,"Media","Fuerte")))</f>
        <v>Media</v>
      </c>
      <c r="H56" s="6" t="s">
        <v>106</v>
      </c>
    </row>
    <row r="57" customFormat="false" ht="85.05" hidden="false" customHeight="false" outlineLevel="0" collapsed="false">
      <c r="A57" s="2" t="s">
        <v>107</v>
      </c>
      <c r="B57" s="3" t="n">
        <v>2</v>
      </c>
      <c r="C57" s="4" t="n">
        <v>0.55</v>
      </c>
      <c r="D57" s="3"/>
      <c r="E57" s="5" t="n">
        <f aca="false">IF(AND(C57&lt;&gt;"",D57&lt;&gt;""),AVERAGE(C57,D57),IF(C57&lt;&gt;"",C57,""))</f>
        <v>0.55</v>
      </c>
      <c r="F57" s="4" t="n">
        <v>0.8</v>
      </c>
      <c r="G57" s="3" t="str">
        <f aca="false">IF(E57="","",IF(E57&lt;0.5,"Debil",IF(E57&lt;0.8,"Media","Fuerte")))</f>
        <v>Media</v>
      </c>
      <c r="H57" s="6" t="s">
        <v>108</v>
      </c>
    </row>
    <row r="58" customFormat="false" ht="64.15" hidden="false" customHeight="false" outlineLevel="0" collapsed="false">
      <c r="A58" s="2" t="s">
        <v>109</v>
      </c>
      <c r="B58" s="3" t="n">
        <v>2</v>
      </c>
      <c r="C58" s="4" t="n">
        <v>0.62</v>
      </c>
      <c r="D58" s="4" t="n">
        <v>0.85</v>
      </c>
      <c r="E58" s="5" t="n">
        <f aca="false">IF(AND(C58&lt;&gt;"",D58&lt;&gt;""),AVERAGE(C58,D58),IF(C58&lt;&gt;"",C58,""))</f>
        <v>0.735</v>
      </c>
      <c r="F58" s="4" t="n">
        <v>0.8</v>
      </c>
      <c r="G58" s="3" t="str">
        <f aca="false">IF(E58="","",IF(E58&lt;0.5,"Debil",IF(E58&lt;0.8,"Media","Fuerte")))</f>
        <v>Media</v>
      </c>
      <c r="H58" s="6" t="s">
        <v>110</v>
      </c>
    </row>
    <row r="59" customFormat="false" ht="64.15" hidden="false" customHeight="false" outlineLevel="0" collapsed="false">
      <c r="A59" s="2" t="s">
        <v>111</v>
      </c>
      <c r="B59" s="3" t="n">
        <v>2</v>
      </c>
      <c r="C59" s="4" t="n">
        <v>0.58</v>
      </c>
      <c r="D59" s="4" t="n">
        <v>0.88</v>
      </c>
      <c r="E59" s="5" t="n">
        <f aca="false">IF(AND(C59&lt;&gt;"",D59&lt;&gt;""),AVERAGE(C59,D59),IF(C59&lt;&gt;"",C59,""))</f>
        <v>0.73</v>
      </c>
      <c r="F59" s="4" t="n">
        <v>0.8</v>
      </c>
      <c r="G59" s="3" t="str">
        <f aca="false">IF(E59="","",IF(E59&lt;0.5,"Debil",IF(E59&lt;0.8,"Media","Fuerte")))</f>
        <v>Media</v>
      </c>
      <c r="H59" s="6" t="s">
        <v>112</v>
      </c>
    </row>
    <row r="60" customFormat="false" ht="74.6" hidden="false" customHeight="false" outlineLevel="0" collapsed="false">
      <c r="A60" s="2" t="s">
        <v>113</v>
      </c>
      <c r="B60" s="3" t="n">
        <v>2</v>
      </c>
      <c r="C60" s="4" t="n">
        <v>0.66</v>
      </c>
      <c r="D60" s="4" t="n">
        <v>0.68</v>
      </c>
      <c r="E60" s="5" t="n">
        <f aca="false">IF(AND(C60&lt;&gt;"",D60&lt;&gt;""),AVERAGE(C60,D60),IF(C60&lt;&gt;"",C60,""))</f>
        <v>0.67</v>
      </c>
      <c r="F60" s="4" t="n">
        <v>0.8</v>
      </c>
      <c r="G60" s="3" t="str">
        <f aca="false">IF(E60="","",IF(E60&lt;0.5,"Debil",IF(E60&lt;0.8,"Media","Fuerte")))</f>
        <v>Media</v>
      </c>
      <c r="H60" s="6" t="s">
        <v>114</v>
      </c>
    </row>
  </sheetData>
  <autoFilter ref="A1:H60"/>
  <conditionalFormatting sqref="E2:E60">
    <cfRule type="colorScale" priority="2">
      <colorScale>
        <cfvo type="num" val="0"/>
        <cfvo type="num" val="0.65"/>
        <cfvo type="num" val="1"/>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2026-09-29T03:09:14Z</dcterms:created>
  <dc:creator>openpyxl</dc:creator>
  <dc:description/>
  <dc:language>en-US</dc:language>
  <cp:lastModifiedBy/>
  <dcterms:modified xsi:type="dcterms:W3CDTF">2026-09-29T03:09:14Z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