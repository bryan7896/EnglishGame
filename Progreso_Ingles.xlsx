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eso" sheetId="1" state="visible" r:id="rId3"/>
    <sheet name="Leyenda" sheetId="2" state="visible" r:id="rId4"/>
  </sheets>
  <definedNames>
    <definedName function="false" hidden="true" localSheetId="0" name="_xlnm._FilterDatabase" vbProcedure="false">Progreso!$A$1:$T$60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<sst xmlns="http://schemas.openxmlformats.org/spreadsheetml/2006/main" count="162" uniqueCount="139">
  <si>
    <t xml:space="preserve">Regla gramatical</t>
  </si>
  <si>
    <t xml:space="preserve">Original</t>
  </si>
  <si>
    <t xml:space="preserve">Tanda C</t>
  </si>
  <si>
    <t xml:space="preserve">Tanda D</t>
  </si>
  <si>
    <t xml:space="preserve">Tanda E</t>
  </si>
  <si>
    <t xml:space="preserve">Tanda F</t>
  </si>
  <si>
    <t xml:space="preserve">Tanda G</t>
  </si>
  <si>
    <t xml:space="preserve">Tanda H</t>
  </si>
  <si>
    <t xml:space="preserve">Tanda I</t>
  </si>
  <si>
    <t xml:space="preserve">Tanda J</t>
  </si>
  <si>
    <t xml:space="preserve">Tanda K</t>
  </si>
  <si>
    <t xml:space="preserve">Tanda L</t>
  </si>
  <si>
    <t xml:space="preserve">Tanda M</t>
  </si>
  <si>
    <t xml:space="preserve">Última evaluación</t>
  </si>
  <si>
    <t xml:space="preserve">Meta actual</t>
  </si>
  <si>
    <t xml:space="preserve">Rondas &gt;=meta</t>
  </si>
  <si>
    <t xml:space="preserve">¿Confirmada (3 rondas)?</t>
  </si>
  <si>
    <t xml:space="preserve">Estado</t>
  </si>
  <si>
    <t xml:space="preserve">Fecha agregada</t>
  </si>
  <si>
    <t xml:space="preserve">Notas</t>
  </si>
  <si>
    <t xml:space="preserve">Say vs Tell</t>
  </si>
  <si>
    <t xml:space="preserve">El usuario fija 75-80% (03-sep-2026), se deja en 78. Evidencia real mixta: completar 3/3 perfecto, pero traducción libre 1/3 (se sigue confundiendo said/told en ambas direcciones: "tells" en vez de "said", "said" en vez de "told").</t>
  </si>
  <si>
    <t xml:space="preserve">Past Perfect vs Presente vs Futuro</t>
  </si>
  <si>
    <t xml:space="preserve">Gerundio vs infinitivo (incluye tras preposiciones y before/after + ing)</t>
  </si>
  <si>
    <t xml:space="preserve">2026-09-02</t>
  </si>
  <si>
    <t xml:space="preserve">CONSOLIDADA: fusiona 'Gerundio tras preposiciones' (25%) + 'Uso de before/after+ing' (80%, subcaso del anterior) + la regla nueva B2 'Gerundio vs infinitivo según el verbo'. Original = promedio de las dos bases previas.</t>
  </si>
  <si>
    <t xml:space="preserve">Preposiciones (to/at/in/on/for/during/from/of)</t>
  </si>
  <si>
    <t xml:space="preserve">Se mantiene separada de 'Preposiciones de movimiento' a propósito: esa está pausada específicamente, y fusionarlas escondería ese estado.</t>
  </si>
  <si>
    <t xml:space="preserve">Preposiciones de movimiento (to/at/for/of con destinos)</t>
  </si>
  <si>
    <t xml:space="preserve">PAUSADA (01-sep-2026): error muy recurrente, esfuerzo activo descontinuado por pedido del usuario. Se deja como fila propia (no se fusiona con 'Preposiciones' general) para no perder de vista que sigue en pausa.</t>
  </si>
  <si>
    <t xml:space="preserve">Phrasal verbs con "look" (look for / look up / look at / look like)</t>
  </si>
  <si>
    <t xml:space="preserve">CONSOLIDADA. DOMINADA a pedido del usuario (02-sep-2026), aunque la evidencia real de Tanda L fue mixta: acerto la traduccion simple, fallo la mas compleja (vocab+estructura), y en corregir tropezo una vez con 'look for' vs 'look like' antes de corregirse solo. Se retira de rotacion activa mientras no vuelva a fallar.</t>
  </si>
  <si>
    <t xml:space="preserve">Tag Questions</t>
  </si>
  <si>
    <t xml:space="preserve">Participios irregulares (incluye take/took/taken, leave/left/left)</t>
  </si>
  <si>
    <t xml:space="preserve">CONSOLIDADA: fusiona 'Participios irregulares' (que ya citaba take/took/taken como ejemplo) con la fila separada 'Take/Took/Taken' que testeaba lo mismo. Tanda D promediada (95 y 70) por venir de ambas filas.</t>
  </si>
  <si>
    <t xml:space="preserve">Artículos (a/an/the)</t>
  </si>
  <si>
    <t xml:space="preserve">Orden de sustantivos compuestos (bus stop, phone number)</t>
  </si>
  <si>
    <t xml:space="preserve">REACTIVAR: resurgió error puntual ('time of dinner' en vez de 'dinner time')</t>
  </si>
  <si>
    <t xml:space="preserve">Traducciones literales (calcos del español)</t>
  </si>
  <si>
    <t xml:space="preserve">Sin evidencia reciente; falta reconfirmar</t>
  </si>
  <si>
    <t xml:space="preserve">Sujeto "it" (clima, tiempo, distancia)</t>
  </si>
  <si>
    <t xml:space="preserve">CONFIRMADA (4 rondas seguidas &gt;=80%: E,G,I,J). Mantenimiento mínimo.</t>
  </si>
  <si>
    <t xml:space="preserve">For + período / During + evento</t>
  </si>
  <si>
    <t xml:space="preserve">Already / Yet / Just</t>
  </si>
  <si>
    <t xml:space="preserve">2 rondas &gt;=80% (D,E); falta reconfirmar. Emparentada con 'Presente perfecto+just' pero se deja aparte: cubre también already/yet, no solo just.</t>
  </si>
  <si>
    <t xml:space="preserve">Since vs For</t>
  </si>
  <si>
    <t xml:space="preserve">Orden natural de la oración en inglés</t>
  </si>
  <si>
    <t xml:space="preserve">Preguntas con presente/pasado perfecto (Have...ever...? / Had...?)</t>
  </si>
  <si>
    <t xml:space="preserve">CONSOLIDADA: fusiona 'Preguntas con Have you ever...?' y 'Preguntas con Had...?' (misma mecánica de pregunta, distinto tiempo). Tanda E promediada (95 y 55) por venir de ambas filas. CONFIRMADA (3 rondas seguidas &gt;=80%: F,I,J).</t>
  </si>
  <si>
    <t xml:space="preserve">Diferencia entre "will" y "going to"</t>
  </si>
  <si>
    <t xml:space="preserve">3ra persona singular (-s)</t>
  </si>
  <si>
    <t xml:space="preserve">Media; reaparece suelta dentro de condicionales, vigilar</t>
  </si>
  <si>
    <t xml:space="preserve">Vocabulario específico</t>
  </si>
  <si>
    <t xml:space="preserve">Confusiones puntuales tipo falso amigo: advice/advance, correct/truth, missing/gone</t>
  </si>
  <si>
    <t xml:space="preserve">Need to + infinitivo</t>
  </si>
  <si>
    <t xml:space="preserve">Presente perfecto: have/has/had + participio (incluye "just": acaba de/acababa de)</t>
  </si>
  <si>
    <t xml:space="preserve">CONSOLIDADA: fusiona 'Have/Has/Had (aux)' + 'Have just/Had just' + 'Expresiones con acaba de/acababa de' (las tres testean la misma construcción: presente/pasado perfecto, con o sin 'just').</t>
  </si>
  <si>
    <t xml:space="preserve">Past Perfect</t>
  </si>
  <si>
    <t xml:space="preserve">Past Perfect Continuous</t>
  </si>
  <si>
    <t xml:space="preserve">CERRADA a pedido del usuario (02-sep-2026): 10/10 en traduccion (con typos menores sin importancia) y 9/10 en completar. Excelente resultado en su primera introduccion real. Se retira de la rotacion.</t>
  </si>
  <si>
    <t xml:space="preserve">Future Perfect Continuous</t>
  </si>
  <si>
    <t xml:space="preserve">Voz pasiva (presente y con modales)</t>
  </si>
  <si>
    <t xml:space="preserve">CONSOLIDADA: fusiona 'Voz pasiva' con la regla nueva B2 'Voz pasiva con modales' (misma construcción base, con complejidad extra de modal).</t>
  </si>
  <si>
    <t xml:space="preserve">Get + adjetivo (cambios de estado: get worried, se puso...)</t>
  </si>
  <si>
    <t xml:space="preserve">CONSOLIDADA: fusiona 'Get/Got/Get+adjective' con 'Expresiones con se puso... (get+adjective)', que eran la misma regla con nombres distintos. Uso nuevo sin dominar del todo: "getting dark" para cambios graduales.</t>
  </si>
  <si>
    <t xml:space="preserve">Bring / Brought</t>
  </si>
  <si>
    <t xml:space="preserve">Media, volátil; verbo casi siempre bien, falla lo de alrededor</t>
  </si>
  <si>
    <t xml:space="preserve">Give / Gave / Given</t>
  </si>
  <si>
    <t xml:space="preserve">Gran salto esta tanda: 9/10 en traducción + 5/5 en completar. Construcción "gave X to person" ya muy sólida</t>
  </si>
  <si>
    <t xml:space="preserve">Modales de posibilidad/deducción (there might be, must/might/can't + be)</t>
  </si>
  <si>
    <t xml:space="preserve">CONSOLIDADA: fusiona 'There might be/There could be' con la regla nueva B2 'Modales de deducción (must/might/can't+be)' - ambas expresan posibilidad/deducción.</t>
  </si>
  <si>
    <t xml:space="preserve">Still + hope</t>
  </si>
  <si>
    <t xml:space="preserve">Contables vs incontables (few/little, less/fewer, much/many)</t>
  </si>
  <si>
    <t xml:space="preserve">CONSOLIDADA: fusiona 'Contables vs incontables' + 'Few vs Little' + 'Less vs Fewer' - las tres son la misma discriminación contable/incontable con distintas parejas de palabras.</t>
  </si>
  <si>
    <t xml:space="preserve">Gone vs Left</t>
  </si>
  <si>
    <t xml:space="preserve">El usuario fija 85% (03-sep-2026). Evidencia Tanda M: 9/10 en completar, y en traducción libre el único fallo real fue el modismo fijo "gone on a trip" (dijo "gone to travel"). OJO - DETECTADO PROBLEMA DE DISEÑO: 2 frases en español usaron pretérito simple ("salió", "abandonó") pero el inglés esperaba presente perfecto ("has left") - la misma ambigüedad que ya se había corregido antes, se coló de nuevo en 2 frases nuevas. Corregir en la próxima tanda de esta regla.</t>
  </si>
  <si>
    <t xml:space="preserve">Half of</t>
  </si>
  <si>
    <t xml:space="preserve">Oraciones con "by" para tiempo futuro</t>
  </si>
  <si>
    <t xml:space="preserve">Modales básicos (can, could, should, must, will, would, used to + verbo)</t>
  </si>
  <si>
    <t xml:space="preserve">CONSOLIDADA. Gran mejora en Tanda M (03-sep-2026), ya con el diseño correcto (el modal como espacio en blanco): ~90% en traducción libre. El usuario confirma sentirlo dominado. Quedan 2 matices puntuales para vigilar: (1) after 'can/must/should/will' el verbo va siempre en base, sin -s (auto-detectado y corregido por el usuario en tiempo real dentro de la misma tanda); (2) 'should' vs 'must' para distinguir sugerencia de obligación.</t>
  </si>
  <si>
    <t xml:space="preserve">Cláusulas relativas (who/which/that, incluyendo explicativas con comas)</t>
  </si>
  <si>
    <t xml:space="preserve">CONSOLIDADA: fusiona 'which, who, that' con la regla nueva B2 'Cláusulas relativas explicativas' (mismos pronombres relativos, uso avanzado con comas).</t>
  </si>
  <si>
    <t xml:space="preserve">because of / because</t>
  </si>
  <si>
    <t xml:space="preserve">(put, try, get, trying, take, lie) + (down, off, on)</t>
  </si>
  <si>
    <t xml:space="preserve">Sustantivos compuestos (compound nouns)</t>
  </si>
  <si>
    <t xml:space="preserve">Expresiones de tiempo con over</t>
  </si>
  <si>
    <t xml:space="preserve">Make vs Do</t>
  </si>
  <si>
    <t xml:space="preserve">El usuario fija 85% (02-sep-2026). Corregir de Tanda L: 1 fallo inicial (repitio el error mostrado) resuelto en retry. Sigue en rotacion normal.</t>
  </si>
  <si>
    <t xml:space="preserve">Too vs Very</t>
  </si>
  <si>
    <t xml:space="preserve">Bad vs Badly</t>
  </si>
  <si>
    <t xml:space="preserve">Uso básico de "as" = como</t>
  </si>
  <si>
    <t xml:space="preserve">Uso de "when / while"</t>
  </si>
  <si>
    <t xml:space="preserve">CONFIRMADA/DOMINADA a pedido del usuario (02-sep-2026): 1/2 en traduccion (con un desliz de "were" autoreconocido) + 6/6 en completar. Se retira de la rotacion activa.</t>
  </si>
  <si>
    <t xml:space="preserve">Future Continuous</t>
  </si>
  <si>
    <t xml:space="preserve">Comparativos y superlativos</t>
  </si>
  <si>
    <t xml:space="preserve">Expresiones con "some / any / no"</t>
  </si>
  <si>
    <t xml:space="preserve">Would para hábitos pasados</t>
  </si>
  <si>
    <t xml:space="preserve">Uso de "have" simple vs contracción "'ve" con cantidades/posesión</t>
  </si>
  <si>
    <t xml:space="preserve">2026-08-31</t>
  </si>
  <si>
    <t xml:space="preserve">RESUELTA. Confirmada, ya no se practica activamente. (No se fusiona con el bloque de presente perfecto: es un uso distinto de have, posesión, no auxiliar.)</t>
  </si>
  <si>
    <t xml:space="preserve">Primer condicional (if + presente, will/won't + infinitivo)</t>
  </si>
  <si>
    <t xml:space="preserve">2026-09-01</t>
  </si>
  <si>
    <t xml:space="preserve">Gran salto en Tanda M (03-sep-2026): ~13/15 en traducción libre + 9/10 en completar, tras la lección diagnóstica. Quedan 2 puntos sueltos: "will" vs "would" en el resultado (1 vez, explicada como error de lectura) y una construcción rara con "it's doesn't" (redundancia de 'it's' + 'doesn't').</t>
  </si>
  <si>
    <t xml:space="preserve">Segundo condicional (if + pasado, would + infinitivo)</t>
  </si>
  <si>
    <t xml:space="preserve">Corregido tras revisión completa: 4/5 en traducción + ~20/20 en completar. Muy buen nivel. Hallazgo real: confunde "were" (ser/estar hipotético) con "had" (tener/poseer hipotético).</t>
  </si>
  <si>
    <t xml:space="preserve">Pronombre objeto tras preposición (him/her/them, no he/she/they)</t>
  </si>
  <si>
    <t xml:space="preserve">GRAN SALTO: 10/10 correcto esta tanda (antes 20-45%). Probablemente ya asentada, confirmar con 1-2 rondas más antes de retirar.</t>
  </si>
  <si>
    <t xml:space="preserve">Verbos make/let/help + objeto + infinitivo (sin 'to')</t>
  </si>
  <si>
    <t xml:space="preserve">Detectada, sin practicar aún ("made me to understand", "let him to go")</t>
  </si>
  <si>
    <t xml:space="preserve">Estilo indirecto básico (reported speech)</t>
  </si>
  <si>
    <t xml:space="preserve">Sin usar todavía</t>
  </si>
  <si>
    <t xml:space="preserve">Wish + pasado simple</t>
  </si>
  <si>
    <t xml:space="preserve">Conectores formales (however, although, despite, moreover)</t>
  </si>
  <si>
    <t xml:space="preserve">Phrasal verbs de nivel B2 (give up, look forward to, run into, get along)</t>
  </si>
  <si>
    <t xml:space="preserve">Sin usar todavía (se deja aparte de la familia 'look' básica: son vocabulario/nivel distinto)</t>
  </si>
  <si>
    <t xml:space="preserve">Cómo leer esta hoja</t>
  </si>
  <si>
    <t xml:space="preserve">Porcentaje inicial en tu Lista.txt (o promedio de las filas fusionadas).</t>
  </si>
  <si>
    <t xml:space="preserve">Tanda C - K</t>
  </si>
  <si>
    <t xml:space="preserve">Puntuación evaluada con la evidencia de esa tanda específica.</t>
  </si>
  <si>
    <t xml:space="preserve">El dato más reciente disponible.</t>
  </si>
  <si>
    <t xml:space="preserve">80% - meta intermedia. Al llegar aquí para todas, las tandas finales serán de repaso hacia el 90%.</t>
  </si>
  <si>
    <t xml:space="preserve">Rondas &gt;= meta</t>
  </si>
  <si>
    <t xml:space="preserve">Cuántas tandas (C a K) llegaron a la meta actual.</t>
  </si>
  <si>
    <t xml:space="preserve">Solo SI con 3+ rondas en meta.</t>
  </si>
  <si>
    <t xml:space="preserve">Debil (&lt;50%), Media (50-79%), Fuerte (&gt;=80%).</t>
  </si>
  <si>
    <t xml:space="preserve">Fila azul claro</t>
  </si>
  <si>
    <t xml:space="preserve">Regla CONSOLIDADA el 02-sep-2026: fusiona 2 o 3 filas que testeaban lo mismo. Ver la nota de esa fila para el detalle de qué se unió.</t>
  </si>
  <si>
    <t xml:space="preserve">Fila gris</t>
  </si>
  <si>
    <t xml:space="preserve">Regla PAUSADA por pedido del usuario.</t>
  </si>
  <si>
    <t xml:space="preserve">Fila verde</t>
  </si>
  <si>
    <t xml:space="preserve">Regla RESUELTA y confirmada.</t>
  </si>
  <si>
    <t xml:space="preserve">Consolidación 02-sep-2026</t>
  </si>
  <si>
    <t xml:space="preserve">Se redujo el listado de ~66 a 50 filas, fusionando reglas que en la práctica testeaban la misma habilidad bajo nombres distintos (have/has/had + have just + acaba de; look for/at/like; take-took-taken + participios irregulares; get+adjetivo + se puso; contables/few-little/less-fewer; preguntas con have-ever/had; modales sueltos; voz pasiva simple/con modales; cláusulas relativas; gerundio+before-after-ing). Se dejaron aparte a propósito 'Preposiciones' general vs 'de movimiento' (pausada) porque fusionarlas escondería el estado de pausa, y 'Already/Yet/Just' se mantuvo separada de presente perfecto por cubrir más que solo 'just'.</t>
  </si>
  <si>
    <t xml:space="preserve">Reparto acordado por tanda</t>
  </si>
  <si>
    <t xml:space="preserve">En general: 3 reglas débiles (~10-11 ejercicios c/u) + 2 medias (~12 c/u) + 1-2 fuertes/nuevas (~7 c/u).</t>
  </si>
  <si>
    <t xml:space="preserve">Retiro de rotación</t>
  </si>
  <si>
    <t xml:space="preserve">Una regla sale del rotativo solo cuando '¿Confirmada (3 rondas)?' dice SI (o cuando el usuario la marca como dominada/cerrada explícitamente).</t>
  </si>
  <si>
    <t xml:space="preserve">Sobre la auditoría retroactiva (02-sep-2026)</t>
  </si>
  <si>
    <t xml:space="preserve">El usuario pidió revisar tandas pasadas para llenar porcentajes de reglas que aparecen sin datos pero que se habrían practicado "implícitamente". Se revisó con honestidad: la mayoría de las frases de cada tanda están diseñadas ajustadas a su tema específico y no generan evidencia limpia de otras reglas. Se encontraron solo un par de observaciones sueltas sin fuerza estadística (orden de adverbio en "when finally he arrived", sujeto omitido en "when changed work") - no alcanzan para asignar un porcentaje real a una fila completa. Se prefiere seguir marcando "sin datos" en vez de inventar precisión donde no la hay, y se irán llenando estos huecos con evidencia real a medida que aparezca de forma natural.</t>
  </si>
</sst>
</file>

<file path=xl/styles.xml><?xml version="1.0" encoding="utf-8"?>
<styleSheet xmlns="http://schemas.openxmlformats.org/spreadsheetml/2006/main">
  <numFmts count="2">
    <numFmt numFmtId="164" formatCode="General"/>
    <numFmt numFmtId="165" formatCode="0%"/>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i val="true"/>
      <sz val="9"/>
      <color rgb="FF666666"/>
      <name val="Arial"/>
      <family val="0"/>
      <charset val="1"/>
    </font>
    <font>
      <b val="true"/>
      <sz val="11"/>
      <name val="Arial"/>
      <family val="0"/>
      <charset val="1"/>
    </font>
  </fonts>
  <fills count="6">
    <fill>
      <patternFill patternType="none"/>
    </fill>
    <fill>
      <patternFill patternType="gray125"/>
    </fill>
    <fill>
      <patternFill patternType="solid">
        <fgColor rgb="FF2F5496"/>
        <bgColor rgb="FF0066CC"/>
      </patternFill>
    </fill>
    <fill>
      <patternFill patternType="solid">
        <fgColor rgb="FFDDEBF7"/>
        <bgColor rgb="FFD9EAD3"/>
      </patternFill>
    </fill>
    <fill>
      <patternFill patternType="solid">
        <fgColor rgb="FFD9D9D9"/>
        <bgColor rgb="FFD9EAD3"/>
      </patternFill>
    </fill>
    <fill>
      <patternFill patternType="solid">
        <fgColor rgb="FFD9EAD3"/>
        <bgColor rgb="FFDDEBF7"/>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5" fontId="6" fillId="3" borderId="1"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true" applyProtection="false">
      <alignment horizontal="center" vertical="bottom" textRotation="0" wrapText="false" indent="0" shrinkToFit="false"/>
      <protection locked="true" hidden="false"/>
    </xf>
    <xf numFmtId="165" fontId="6" fillId="4" borderId="1" xfId="0" applyFont="true" applyBorder="true" applyAlignment="true" applyProtection="false">
      <alignment horizontal="center"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left"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patternType="solid">
          <fgColor rgb="FF2F5496"/>
          <bgColor rgb="FF000000"/>
        </patternFill>
      </fill>
    </dxf>
    <dxf>
      <fill>
        <patternFill patternType="solid">
          <fgColor rgb="FFD9D9D9"/>
          <bgColor rgb="FF000000"/>
        </patternFill>
      </fill>
    </dxf>
    <dxf>
      <fill>
        <patternFill patternType="solid">
          <fgColor rgb="FFD9EAD3"/>
          <bgColor rgb="FF000000"/>
        </patternFill>
      </fill>
    </dxf>
    <dxf>
      <fill>
        <patternFill patternType="solid">
          <fgColor rgb="FFDDEBF7"/>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AC57D"/>
          <bgColor rgb="FF000000"/>
        </patternFill>
      </fill>
    </dxf>
    <dxf>
      <fill>
        <patternFill patternType="solid">
          <fgColor rgb="FF83C77D"/>
          <bgColor rgb="FF000000"/>
        </patternFill>
      </fill>
    </dxf>
    <dxf>
      <fill>
        <patternFill patternType="solid">
          <fgColor rgb="FF90CB7E"/>
          <bgColor rgb="FF000000"/>
        </patternFill>
      </fill>
    </dxf>
    <dxf>
      <fill>
        <patternFill patternType="solid">
          <fgColor rgb="FF99CE7F"/>
          <bgColor rgb="FF000000"/>
        </patternFill>
      </fill>
    </dxf>
    <dxf>
      <fill>
        <patternFill patternType="solid">
          <fgColor rgb="FF9DCF7F"/>
          <bgColor rgb="FF000000"/>
        </patternFill>
      </fill>
    </dxf>
    <dxf>
      <fill>
        <patternFill patternType="solid">
          <fgColor rgb="FFA6D27F"/>
          <bgColor rgb="FF000000"/>
        </patternFill>
      </fill>
    </dxf>
    <dxf>
      <fill>
        <patternFill patternType="solid">
          <fgColor rgb="FFABD380"/>
          <bgColor rgb="FF000000"/>
        </patternFill>
      </fill>
    </dxf>
    <dxf>
      <fill>
        <patternFill patternType="solid">
          <fgColor rgb="FFC6DB81"/>
          <bgColor rgb="FF000000"/>
        </patternFill>
      </fill>
    </dxf>
    <dxf>
      <fill>
        <patternFill patternType="solid">
          <fgColor rgb="FFD3DF82"/>
          <bgColor rgb="FF000000"/>
        </patternFill>
      </fill>
    </dxf>
    <dxf>
      <fill>
        <patternFill patternType="solid">
          <fgColor rgb="FFE9E583"/>
          <bgColor rgb="FF000000"/>
        </patternFill>
      </fill>
    </dxf>
    <dxf>
      <fill>
        <patternFill patternType="solid">
          <fgColor rgb="FFF8696B"/>
          <bgColor rgb="FF000000"/>
        </patternFill>
      </fill>
    </dxf>
    <dxf>
      <fill>
        <patternFill patternType="solid">
          <fgColor rgb="FFF97D6E"/>
          <bgColor rgb="FF000000"/>
        </patternFill>
      </fill>
    </dxf>
    <dxf>
      <fill>
        <patternFill patternType="solid">
          <fgColor rgb="FFFA9172"/>
          <bgColor rgb="FF000000"/>
        </patternFill>
      </fill>
    </dxf>
    <dxf>
      <fill>
        <patternFill patternType="solid">
          <fgColor rgb="FFFCB97A"/>
          <bgColor rgb="FF000000"/>
        </patternFill>
      </fill>
    </dxf>
    <dxf>
      <fill>
        <patternFill patternType="solid">
          <fgColor rgb="FFFCC37C"/>
          <bgColor rgb="FF000000"/>
        </patternFill>
      </fill>
    </dxf>
    <dxf>
      <fill>
        <patternFill patternType="solid">
          <fgColor rgb="FFFDCC7E"/>
          <bgColor rgb="FF000000"/>
        </patternFill>
      </fill>
    </dxf>
    <dxf>
      <fill>
        <patternFill patternType="solid">
          <fgColor rgb="FFFDD37F"/>
          <bgColor rgb="FF000000"/>
        </patternFill>
      </fill>
    </dxf>
    <dxf>
      <fill>
        <patternFill patternType="solid">
          <fgColor rgb="FFFDD780"/>
          <bgColor rgb="FF000000"/>
        </patternFill>
      </fill>
    </dxf>
    <dxf>
      <fill>
        <patternFill patternType="solid">
          <fgColor rgb="FFFEE082"/>
          <bgColor rgb="FF000000"/>
        </patternFill>
      </fill>
    </dxf>
    <dxf>
      <fill>
        <patternFill patternType="solid">
          <fgColor rgb="FFFFEB84"/>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5"/>
    <col collapsed="false" customWidth="true" hidden="false" outlineLevel="0" max="2" min="2" style="0" width="9"/>
    <col collapsed="false" customWidth="true" hidden="false" outlineLevel="0" max="13" min="3" style="0" width="8"/>
    <col collapsed="false" customWidth="true" hidden="false" outlineLevel="0" max="14" min="14" style="0" width="11"/>
    <col collapsed="false" customWidth="true" hidden="false" outlineLevel="0" max="15" min="15" style="0" width="8"/>
    <col collapsed="false" customWidth="true" hidden="false" outlineLevel="0" max="16" min="16" style="0" width="10"/>
    <col collapsed="false" customWidth="true" hidden="false" outlineLevel="0" max="17" min="17" style="0" width="12"/>
    <col collapsed="false" customWidth="true" hidden="false" outlineLevel="0" max="18" min="18" style="0" width="9"/>
    <col collapsed="false" customWidth="true" hidden="false" outlineLevel="0" max="19" min="19" style="0" width="12"/>
    <col collapsed="false" customWidth="true" hidden="false" outlineLevel="0" max="20" min="20" style="0" width="65"/>
  </cols>
  <sheetData>
    <row r="1" customFormat="false" ht="36"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customFormat="false" ht="32.8" hidden="false" customHeight="false" outlineLevel="0" collapsed="false">
      <c r="A2" s="2" t="s">
        <v>20</v>
      </c>
      <c r="B2" s="3" t="n">
        <v>0.75</v>
      </c>
      <c r="C2" s="4"/>
      <c r="D2" s="4"/>
      <c r="E2" s="4"/>
      <c r="F2" s="4"/>
      <c r="G2" s="4"/>
      <c r="H2" s="4"/>
      <c r="I2" s="4"/>
      <c r="J2" s="4"/>
      <c r="K2" s="4"/>
      <c r="L2" s="3" t="n">
        <v>0.75</v>
      </c>
      <c r="M2" s="3" t="n">
        <v>0.78</v>
      </c>
      <c r="N2" s="5" t="n">
        <f aca="false">IF(M2&lt;&gt;"",M2,IF(L2&lt;&gt;"",L2,IF(K2&lt;&gt;"",K2,IF(J2&lt;&gt;"",J2,IF(I2&lt;&gt;"",I2,IF(H2&lt;&gt;"",H2,IF(G2&lt;&gt;"",G2,IF(F2&lt;&gt;"",F2,IF(E2&lt;&gt;"",E2,IF(D2&lt;&gt;"",D2,IF(C2&lt;&gt;"",C2,IF(B2&lt;&gt;"",B2,""))))))))))))</f>
        <v>0.78</v>
      </c>
      <c r="O2" s="3" t="n">
        <v>0.8</v>
      </c>
      <c r="P2" s="4" t="n">
        <f aca="false">SUMPRODUCT((C2:M2&lt;&gt;"")*(C2:M2&gt;=$O$2))</f>
        <v>0</v>
      </c>
      <c r="Q2" s="4" t="str">
        <f aca="false">IF(P2&gt;=3,"SI","NO")</f>
        <v>NO</v>
      </c>
      <c r="R2" s="4" t="str">
        <f aca="false">IF(N2="","",IF(N2&lt;0.5,"Debil",IF(N2&lt;0.8,"Media","Fuerte")))</f>
        <v>Media</v>
      </c>
      <c r="S2" s="4"/>
      <c r="T2" s="6" t="s">
        <v>21</v>
      </c>
    </row>
    <row r="3" customFormat="false" ht="15" hidden="false" customHeight="false" outlineLevel="0" collapsed="false">
      <c r="A3" s="2" t="s">
        <v>22</v>
      </c>
      <c r="B3" s="3" t="n">
        <v>0.4</v>
      </c>
      <c r="C3" s="4"/>
      <c r="D3" s="4"/>
      <c r="E3" s="4"/>
      <c r="F3" s="4"/>
      <c r="G3" s="4"/>
      <c r="H3" s="4"/>
      <c r="I3" s="4"/>
      <c r="J3" s="4"/>
      <c r="K3" s="4"/>
      <c r="L3" s="4"/>
      <c r="M3" s="4"/>
      <c r="N3" s="5" t="n">
        <f aca="false">IF(M3&lt;&gt;"",M3,IF(L3&lt;&gt;"",L3,IF(K3&lt;&gt;"",K3,IF(J3&lt;&gt;"",J3,IF(I3&lt;&gt;"",I3,IF(H3&lt;&gt;"",H3,IF(G3&lt;&gt;"",G3,IF(F3&lt;&gt;"",F3,IF(E3&lt;&gt;"",E3,IF(D3&lt;&gt;"",D3,IF(C3&lt;&gt;"",C3,IF(B3&lt;&gt;"",B3,""))))))))))))</f>
        <v>0.4</v>
      </c>
      <c r="O3" s="3" t="n">
        <v>0.8</v>
      </c>
      <c r="P3" s="4" t="n">
        <f aca="false">SUMPRODUCT((C3:M3&lt;&gt;"")*(C3:M3&gt;=$O$3))</f>
        <v>0</v>
      </c>
      <c r="Q3" s="4" t="str">
        <f aca="false">IF(P3&gt;=3,"SI","NO")</f>
        <v>NO</v>
      </c>
      <c r="R3" s="4" t="str">
        <f aca="false">IF(N3="","",IF(N3&lt;0.5,"Debil",IF(N3&lt;0.8,"Media","Fuerte")))</f>
        <v>Debil</v>
      </c>
      <c r="S3" s="4"/>
      <c r="T3" s="6"/>
    </row>
    <row r="4" customFormat="false" ht="32.8" hidden="false" customHeight="false" outlineLevel="0" collapsed="false">
      <c r="A4" s="7" t="s">
        <v>23</v>
      </c>
      <c r="B4" s="8" t="n">
        <v>0.53</v>
      </c>
      <c r="C4" s="9"/>
      <c r="D4" s="9"/>
      <c r="E4" s="9"/>
      <c r="F4" s="9"/>
      <c r="G4" s="9"/>
      <c r="H4" s="9"/>
      <c r="I4" s="9"/>
      <c r="J4" s="9"/>
      <c r="K4" s="9"/>
      <c r="L4" s="9"/>
      <c r="M4" s="9"/>
      <c r="N4" s="10" t="n">
        <f aca="false">IF(M4&lt;&gt;"",M4,IF(L4&lt;&gt;"",L4,IF(K4&lt;&gt;"",K4,IF(J4&lt;&gt;"",J4,IF(I4&lt;&gt;"",I4,IF(H4&lt;&gt;"",H4,IF(G4&lt;&gt;"",G4,IF(F4&lt;&gt;"",F4,IF(E4&lt;&gt;"",E4,IF(D4&lt;&gt;"",D4,IF(C4&lt;&gt;"",C4,IF(B4&lt;&gt;"",B4,""))))))))))))</f>
        <v>0.53</v>
      </c>
      <c r="O4" s="8" t="n">
        <v>0.8</v>
      </c>
      <c r="P4" s="9" t="n">
        <f aca="false">SUMPRODUCT((C4:M4&lt;&gt;"")*(C4:M4&gt;=$O$4))</f>
        <v>0</v>
      </c>
      <c r="Q4" s="9" t="str">
        <f aca="false">IF(P4&gt;=3,"SI","NO")</f>
        <v>NO</v>
      </c>
      <c r="R4" s="9" t="str">
        <f aca="false">IF(N4="","",IF(N4&lt;0.5,"Debil",IF(N4&lt;0.8,"Media","Fuerte")))</f>
        <v>Media</v>
      </c>
      <c r="S4" s="9" t="s">
        <v>24</v>
      </c>
      <c r="T4" s="11" t="s">
        <v>25</v>
      </c>
    </row>
    <row r="5" customFormat="false" ht="22.35" hidden="false" customHeight="false" outlineLevel="0" collapsed="false">
      <c r="A5" s="2" t="s">
        <v>26</v>
      </c>
      <c r="B5" s="3" t="n">
        <v>0.7</v>
      </c>
      <c r="C5" s="4"/>
      <c r="D5" s="4"/>
      <c r="E5" s="4"/>
      <c r="F5" s="4"/>
      <c r="G5" s="4"/>
      <c r="H5" s="4"/>
      <c r="I5" s="4"/>
      <c r="J5" s="4"/>
      <c r="K5" s="4"/>
      <c r="L5" s="4"/>
      <c r="M5" s="4"/>
      <c r="N5" s="5" t="n">
        <f aca="false">IF(M5&lt;&gt;"",M5,IF(L5&lt;&gt;"",L5,IF(K5&lt;&gt;"",K5,IF(J5&lt;&gt;"",J5,IF(I5&lt;&gt;"",I5,IF(H5&lt;&gt;"",H5,IF(G5&lt;&gt;"",G5,IF(F5&lt;&gt;"",F5,IF(E5&lt;&gt;"",E5,IF(D5&lt;&gt;"",D5,IF(C5&lt;&gt;"",C5,IF(B5&lt;&gt;"",B5,""))))))))))))</f>
        <v>0.7</v>
      </c>
      <c r="O5" s="3" t="n">
        <v>0.8</v>
      </c>
      <c r="P5" s="4" t="n">
        <f aca="false">SUMPRODUCT((C5:M5&lt;&gt;"")*(C5:M5&gt;=$O$5))</f>
        <v>0</v>
      </c>
      <c r="Q5" s="4" t="str">
        <f aca="false">IF(P5&gt;=3,"SI","NO")</f>
        <v>NO</v>
      </c>
      <c r="R5" s="4" t="str">
        <f aca="false">IF(N5="","",IF(N5&lt;0.5,"Debil",IF(N5&lt;0.8,"Media","Fuerte")))</f>
        <v>Media</v>
      </c>
      <c r="S5" s="4"/>
      <c r="T5" s="6" t="s">
        <v>27</v>
      </c>
    </row>
    <row r="6" customFormat="false" ht="32.8" hidden="false" customHeight="false" outlineLevel="0" collapsed="false">
      <c r="A6" s="12" t="s">
        <v>28</v>
      </c>
      <c r="B6" s="13" t="n">
        <v>0.7</v>
      </c>
      <c r="C6" s="14"/>
      <c r="D6" s="14"/>
      <c r="E6" s="14"/>
      <c r="F6" s="14"/>
      <c r="G6" s="14"/>
      <c r="H6" s="13" t="n">
        <v>0.65</v>
      </c>
      <c r="I6" s="14"/>
      <c r="J6" s="14"/>
      <c r="K6" s="14"/>
      <c r="L6" s="14"/>
      <c r="M6" s="14"/>
      <c r="N6" s="15" t="n">
        <f aca="false">IF(M6&lt;&gt;"",M6,IF(L6&lt;&gt;"",L6,IF(K6&lt;&gt;"",K6,IF(J6&lt;&gt;"",J6,IF(I6&lt;&gt;"",I6,IF(H6&lt;&gt;"",H6,IF(G6&lt;&gt;"",G6,IF(F6&lt;&gt;"",F6,IF(E6&lt;&gt;"",E6,IF(D6&lt;&gt;"",D6,IF(C6&lt;&gt;"",C6,IF(B6&lt;&gt;"",B6,""))))))))))))</f>
        <v>0.65</v>
      </c>
      <c r="O6" s="13" t="n">
        <v>0.8</v>
      </c>
      <c r="P6" s="14" t="n">
        <f aca="false">SUMPRODUCT((C6:M6&lt;&gt;"")*(C6:M6&gt;=$O$6))</f>
        <v>0</v>
      </c>
      <c r="Q6" s="14" t="str">
        <f aca="false">IF(P6&gt;=3,"SI","NO")</f>
        <v>NO</v>
      </c>
      <c r="R6" s="14" t="str">
        <f aca="false">IF(N6="","",IF(N6&lt;0.5,"Debil",IF(N6&lt;0.8,"Media","Fuerte")))</f>
        <v>Media</v>
      </c>
      <c r="S6" s="14"/>
      <c r="T6" s="16" t="s">
        <v>29</v>
      </c>
    </row>
    <row r="7" customFormat="false" ht="43.25" hidden="false" customHeight="false" outlineLevel="0" collapsed="false">
      <c r="A7" s="17" t="s">
        <v>30</v>
      </c>
      <c r="B7" s="18" t="n">
        <v>0.9</v>
      </c>
      <c r="C7" s="18" t="n">
        <v>0.5</v>
      </c>
      <c r="D7" s="18" t="n">
        <v>0.65</v>
      </c>
      <c r="E7" s="18" t="n">
        <v>0.9</v>
      </c>
      <c r="F7" s="18" t="n">
        <v>0.75</v>
      </c>
      <c r="G7" s="19"/>
      <c r="H7" s="19"/>
      <c r="I7" s="19"/>
      <c r="J7" s="19"/>
      <c r="K7" s="19"/>
      <c r="L7" s="18" t="n">
        <v>0.75</v>
      </c>
      <c r="M7" s="19"/>
      <c r="N7" s="20" t="n">
        <f aca="false">IF(M7&lt;&gt;"",M7,IF(L7&lt;&gt;"",L7,IF(K7&lt;&gt;"",K7,IF(J7&lt;&gt;"",J7,IF(I7&lt;&gt;"",I7,IF(H7&lt;&gt;"",H7,IF(G7&lt;&gt;"",G7,IF(F7&lt;&gt;"",F7,IF(E7&lt;&gt;"",E7,IF(D7&lt;&gt;"",D7,IF(C7&lt;&gt;"",C7,IF(B7&lt;&gt;"",B7,""))))))))))))</f>
        <v>0.75</v>
      </c>
      <c r="O7" s="18" t="n">
        <v>0.8</v>
      </c>
      <c r="P7" s="19" t="n">
        <f aca="false">SUMPRODUCT((C7:M7&lt;&gt;"")*(C7:M7&gt;=$O$7))</f>
        <v>1</v>
      </c>
      <c r="Q7" s="19" t="str">
        <f aca="false">IF(P7&gt;=3,"SI","NO")</f>
        <v>NO</v>
      </c>
      <c r="R7" s="19" t="str">
        <f aca="false">IF(N7="","",IF(N7&lt;0.5,"Debil",IF(N7&lt;0.8,"Media","Fuerte")))</f>
        <v>Media</v>
      </c>
      <c r="S7" s="19" t="s">
        <v>24</v>
      </c>
      <c r="T7" s="21" t="s">
        <v>31</v>
      </c>
    </row>
    <row r="8" customFormat="false" ht="15" hidden="false" customHeight="false" outlineLevel="0" collapsed="false">
      <c r="A8" s="2" t="s">
        <v>32</v>
      </c>
      <c r="B8" s="3" t="n">
        <v>0.84</v>
      </c>
      <c r="C8" s="4"/>
      <c r="D8" s="4"/>
      <c r="E8" s="4"/>
      <c r="F8" s="4"/>
      <c r="G8" s="4"/>
      <c r="H8" s="4"/>
      <c r="I8" s="4"/>
      <c r="J8" s="4"/>
      <c r="K8" s="4"/>
      <c r="L8" s="4"/>
      <c r="M8" s="4"/>
      <c r="N8" s="5" t="n">
        <f aca="false">IF(M8&lt;&gt;"",M8,IF(L8&lt;&gt;"",L8,IF(K8&lt;&gt;"",K8,IF(J8&lt;&gt;"",J8,IF(I8&lt;&gt;"",I8,IF(H8&lt;&gt;"",H8,IF(G8&lt;&gt;"",G8,IF(F8&lt;&gt;"",F8,IF(E8&lt;&gt;"",E8,IF(D8&lt;&gt;"",D8,IF(C8&lt;&gt;"",C8,IF(B8&lt;&gt;"",B8,""))))))))))))</f>
        <v>0.84</v>
      </c>
      <c r="O8" s="3" t="n">
        <v>0.8</v>
      </c>
      <c r="P8" s="4" t="n">
        <f aca="false">SUMPRODUCT((C8:M8&lt;&gt;"")*(C8:M8&gt;=$O$8))</f>
        <v>0</v>
      </c>
      <c r="Q8" s="4" t="str">
        <f aca="false">IF(P8&gt;=3,"SI","NO")</f>
        <v>NO</v>
      </c>
      <c r="R8" s="4" t="str">
        <f aca="false">IF(N8="","",IF(N8&lt;0.5,"Debil",IF(N8&lt;0.8,"Media","Fuerte")))</f>
        <v>Fuerte</v>
      </c>
      <c r="S8" s="4"/>
      <c r="T8" s="6"/>
    </row>
    <row r="9" customFormat="false" ht="32.8" hidden="false" customHeight="false" outlineLevel="0" collapsed="false">
      <c r="A9" s="7" t="s">
        <v>33</v>
      </c>
      <c r="B9" s="8" t="n">
        <v>0.81</v>
      </c>
      <c r="C9" s="9"/>
      <c r="D9" s="8" t="n">
        <v>0.83</v>
      </c>
      <c r="E9" s="8" t="n">
        <v>0.65</v>
      </c>
      <c r="F9" s="8" t="n">
        <v>0.95</v>
      </c>
      <c r="G9" s="9"/>
      <c r="H9" s="9"/>
      <c r="I9" s="9"/>
      <c r="J9" s="9"/>
      <c r="K9" s="9"/>
      <c r="L9" s="9"/>
      <c r="M9" s="9"/>
      <c r="N9" s="10" t="n">
        <f aca="false">IF(M9&lt;&gt;"",M9,IF(L9&lt;&gt;"",L9,IF(K9&lt;&gt;"",K9,IF(J9&lt;&gt;"",J9,IF(I9&lt;&gt;"",I9,IF(H9&lt;&gt;"",H9,IF(G9&lt;&gt;"",G9,IF(F9&lt;&gt;"",F9,IF(E9&lt;&gt;"",E9,IF(D9&lt;&gt;"",D9,IF(C9&lt;&gt;"",C9,IF(B9&lt;&gt;"",B9,""))))))))))))</f>
        <v>0.95</v>
      </c>
      <c r="O9" s="8" t="n">
        <v>0.8</v>
      </c>
      <c r="P9" s="9" t="n">
        <f aca="false">SUMPRODUCT((C9:M9&lt;&gt;"")*(C9:M9&gt;=$O$9))</f>
        <v>2</v>
      </c>
      <c r="Q9" s="9" t="str">
        <f aca="false">IF(P9&gt;=3,"SI","NO")</f>
        <v>NO</v>
      </c>
      <c r="R9" s="9" t="str">
        <f aca="false">IF(N9="","",IF(N9&lt;0.5,"Debil",IF(N9&lt;0.8,"Media","Fuerte")))</f>
        <v>Fuerte</v>
      </c>
      <c r="S9" s="9" t="s">
        <v>24</v>
      </c>
      <c r="T9" s="11" t="s">
        <v>34</v>
      </c>
    </row>
    <row r="10" customFormat="false" ht="15" hidden="false" customHeight="false" outlineLevel="0" collapsed="false">
      <c r="A10" s="2" t="s">
        <v>35</v>
      </c>
      <c r="B10" s="3" t="n">
        <v>0.75</v>
      </c>
      <c r="C10" s="4"/>
      <c r="D10" s="4"/>
      <c r="E10" s="4"/>
      <c r="F10" s="4"/>
      <c r="G10" s="4"/>
      <c r="H10" s="4"/>
      <c r="I10" s="4"/>
      <c r="J10" s="4"/>
      <c r="K10" s="4"/>
      <c r="L10" s="4"/>
      <c r="M10" s="4"/>
      <c r="N10" s="5" t="n">
        <f aca="false">IF(M10&lt;&gt;"",M10,IF(L10&lt;&gt;"",L10,IF(K10&lt;&gt;"",K10,IF(J10&lt;&gt;"",J10,IF(I10&lt;&gt;"",I10,IF(H10&lt;&gt;"",H10,IF(G10&lt;&gt;"",G10,IF(F10&lt;&gt;"",F10,IF(E10&lt;&gt;"",E10,IF(D10&lt;&gt;"",D10,IF(C10&lt;&gt;"",C10,IF(B10&lt;&gt;"",B10,""))))))))))))</f>
        <v>0.75</v>
      </c>
      <c r="O10" s="3" t="n">
        <v>0.8</v>
      </c>
      <c r="P10" s="4" t="n">
        <f aca="false">SUMPRODUCT((C10:M10&lt;&gt;"")*(C10:M10&gt;=$O$10))</f>
        <v>0</v>
      </c>
      <c r="Q10" s="4" t="str">
        <f aca="false">IF(P10&gt;=3,"SI","NO")</f>
        <v>NO</v>
      </c>
      <c r="R10" s="4" t="str">
        <f aca="false">IF(N10="","",IF(N10&lt;0.5,"Debil",IF(N10&lt;0.8,"Media","Fuerte")))</f>
        <v>Media</v>
      </c>
      <c r="S10" s="4"/>
      <c r="T10" s="6"/>
    </row>
    <row r="11" customFormat="false" ht="15" hidden="false" customHeight="false" outlineLevel="0" collapsed="false">
      <c r="A11" s="2" t="s">
        <v>36</v>
      </c>
      <c r="B11" s="3" t="n">
        <v>0.2</v>
      </c>
      <c r="C11" s="4"/>
      <c r="D11" s="4"/>
      <c r="E11" s="4"/>
      <c r="F11" s="4"/>
      <c r="G11" s="4"/>
      <c r="H11" s="4"/>
      <c r="I11" s="4"/>
      <c r="J11" s="4"/>
      <c r="K11" s="4"/>
      <c r="L11" s="4"/>
      <c r="M11" s="4"/>
      <c r="N11" s="5" t="n">
        <f aca="false">IF(M11&lt;&gt;"",M11,IF(L11&lt;&gt;"",L11,IF(K11&lt;&gt;"",K11,IF(J11&lt;&gt;"",J11,IF(I11&lt;&gt;"",I11,IF(H11&lt;&gt;"",H11,IF(G11&lt;&gt;"",G11,IF(F11&lt;&gt;"",F11,IF(E11&lt;&gt;"",E11,IF(D11&lt;&gt;"",D11,IF(C11&lt;&gt;"",C11,IF(B11&lt;&gt;"",B11,""))))))))))))</f>
        <v>0.2</v>
      </c>
      <c r="O11" s="3" t="n">
        <v>0.8</v>
      </c>
      <c r="P11" s="4" t="n">
        <f aca="false">SUMPRODUCT((C11:M11&lt;&gt;"")*(C11:M11&gt;=$O$11))</f>
        <v>0</v>
      </c>
      <c r="Q11" s="4" t="str">
        <f aca="false">IF(P11&gt;=3,"SI","NO")</f>
        <v>NO</v>
      </c>
      <c r="R11" s="4" t="str">
        <f aca="false">IF(N11="","",IF(N11&lt;0.5,"Debil",IF(N11&lt;0.8,"Media","Fuerte")))</f>
        <v>Debil</v>
      </c>
      <c r="S11" s="4"/>
      <c r="T11" s="6" t="s">
        <v>37</v>
      </c>
    </row>
    <row r="12" customFormat="false" ht="15" hidden="false" customHeight="false" outlineLevel="0" collapsed="false">
      <c r="A12" s="2" t="s">
        <v>38</v>
      </c>
      <c r="B12" s="3" t="n">
        <v>0.35</v>
      </c>
      <c r="C12" s="3" t="n">
        <v>0.5</v>
      </c>
      <c r="D12" s="3" t="n">
        <v>0.55</v>
      </c>
      <c r="E12" s="3" t="n">
        <v>0.75</v>
      </c>
      <c r="F12" s="3" t="n">
        <v>0.9</v>
      </c>
      <c r="G12" s="4"/>
      <c r="H12" s="4"/>
      <c r="I12" s="4"/>
      <c r="J12" s="4"/>
      <c r="K12" s="4"/>
      <c r="L12" s="4"/>
      <c r="M12" s="4"/>
      <c r="N12" s="5" t="n">
        <f aca="false">IF(M12&lt;&gt;"",M12,IF(L12&lt;&gt;"",L12,IF(K12&lt;&gt;"",K12,IF(J12&lt;&gt;"",J12,IF(I12&lt;&gt;"",I12,IF(H12&lt;&gt;"",H12,IF(G12&lt;&gt;"",G12,IF(F12&lt;&gt;"",F12,IF(E12&lt;&gt;"",E12,IF(D12&lt;&gt;"",D12,IF(C12&lt;&gt;"",C12,IF(B12&lt;&gt;"",B12,""))))))))))))</f>
        <v>0.9</v>
      </c>
      <c r="O12" s="3" t="n">
        <v>0.8</v>
      </c>
      <c r="P12" s="4" t="n">
        <f aca="false">SUMPRODUCT((C12:M12&lt;&gt;"")*(C12:M12&gt;=$O$12))</f>
        <v>1</v>
      </c>
      <c r="Q12" s="4" t="str">
        <f aca="false">IF(P12&gt;=3,"SI","NO")</f>
        <v>NO</v>
      </c>
      <c r="R12" s="4" t="str">
        <f aca="false">IF(N12="","",IF(N12&lt;0.5,"Debil",IF(N12&lt;0.8,"Media","Fuerte")))</f>
        <v>Fuerte</v>
      </c>
      <c r="S12" s="4"/>
      <c r="T12" s="6" t="s">
        <v>39</v>
      </c>
    </row>
    <row r="13" customFormat="false" ht="15" hidden="false" customHeight="false" outlineLevel="0" collapsed="false">
      <c r="A13" s="2" t="s">
        <v>40</v>
      </c>
      <c r="B13" s="3" t="n">
        <v>0.6</v>
      </c>
      <c r="C13" s="3" t="n">
        <v>0.65</v>
      </c>
      <c r="D13" s="3" t="n">
        <v>0.75</v>
      </c>
      <c r="E13" s="3" t="n">
        <v>0.88</v>
      </c>
      <c r="F13" s="4"/>
      <c r="G13" s="3" t="n">
        <v>1</v>
      </c>
      <c r="H13" s="4"/>
      <c r="I13" s="3" t="n">
        <v>0.85</v>
      </c>
      <c r="J13" s="3" t="n">
        <v>0.9</v>
      </c>
      <c r="K13" s="4"/>
      <c r="L13" s="4"/>
      <c r="M13" s="4"/>
      <c r="N13" s="5" t="n">
        <f aca="false">IF(M13&lt;&gt;"",M13,IF(L13&lt;&gt;"",L13,IF(K13&lt;&gt;"",K13,IF(J13&lt;&gt;"",J13,IF(I13&lt;&gt;"",I13,IF(H13&lt;&gt;"",H13,IF(G13&lt;&gt;"",G13,IF(F13&lt;&gt;"",F13,IF(E13&lt;&gt;"",E13,IF(D13&lt;&gt;"",D13,IF(C13&lt;&gt;"",C13,IF(B13&lt;&gt;"",B13,""))))))))))))</f>
        <v>0.9</v>
      </c>
      <c r="O13" s="3" t="n">
        <v>0.8</v>
      </c>
      <c r="P13" s="4" t="n">
        <f aca="false">SUMPRODUCT((C13:M13&lt;&gt;"")*(C13:M13&gt;=$O$13))</f>
        <v>4</v>
      </c>
      <c r="Q13" s="4" t="str">
        <f aca="false">IF(P13&gt;=3,"SI","NO")</f>
        <v>SI</v>
      </c>
      <c r="R13" s="4" t="str">
        <f aca="false">IF(N13="","",IF(N13&lt;0.5,"Debil",IF(N13&lt;0.8,"Media","Fuerte")))</f>
        <v>Fuerte</v>
      </c>
      <c r="S13" s="4"/>
      <c r="T13" s="6" t="s">
        <v>41</v>
      </c>
    </row>
    <row r="14" customFormat="false" ht="15" hidden="false" customHeight="false" outlineLevel="0" collapsed="false">
      <c r="A14" s="2" t="s">
        <v>42</v>
      </c>
      <c r="B14" s="3" t="n">
        <v>0.55</v>
      </c>
      <c r="C14" s="4"/>
      <c r="D14" s="4"/>
      <c r="E14" s="4"/>
      <c r="F14" s="4"/>
      <c r="G14" s="4"/>
      <c r="H14" s="4"/>
      <c r="I14" s="4"/>
      <c r="J14" s="4"/>
      <c r="K14" s="4"/>
      <c r="L14" s="4"/>
      <c r="M14" s="4"/>
      <c r="N14" s="5" t="n">
        <f aca="false">IF(M14&lt;&gt;"",M14,IF(L14&lt;&gt;"",L14,IF(K14&lt;&gt;"",K14,IF(J14&lt;&gt;"",J14,IF(I14&lt;&gt;"",I14,IF(H14&lt;&gt;"",H14,IF(G14&lt;&gt;"",G14,IF(F14&lt;&gt;"",F14,IF(E14&lt;&gt;"",E14,IF(D14&lt;&gt;"",D14,IF(C14&lt;&gt;"",C14,IF(B14&lt;&gt;"",B14,""))))))))))))</f>
        <v>0.55</v>
      </c>
      <c r="O14" s="3" t="n">
        <v>0.8</v>
      </c>
      <c r="P14" s="4" t="n">
        <f aca="false">SUMPRODUCT((C14:M14&lt;&gt;"")*(C14:M14&gt;=$O$14))</f>
        <v>0</v>
      </c>
      <c r="Q14" s="4" t="str">
        <f aca="false">IF(P14&gt;=3,"SI","NO")</f>
        <v>NO</v>
      </c>
      <c r="R14" s="4" t="str">
        <f aca="false">IF(N14="","",IF(N14&lt;0.5,"Debil",IF(N14&lt;0.8,"Media","Fuerte")))</f>
        <v>Media</v>
      </c>
      <c r="S14" s="4"/>
      <c r="T14" s="6"/>
    </row>
    <row r="15" customFormat="false" ht="22.35" hidden="false" customHeight="false" outlineLevel="0" collapsed="false">
      <c r="A15" s="2" t="s">
        <v>43</v>
      </c>
      <c r="B15" s="3" t="n">
        <v>0.85</v>
      </c>
      <c r="C15" s="3" t="n">
        <v>0.55</v>
      </c>
      <c r="D15" s="3" t="n">
        <v>0.95</v>
      </c>
      <c r="E15" s="3" t="n">
        <v>0.9</v>
      </c>
      <c r="F15" s="4"/>
      <c r="G15" s="4"/>
      <c r="H15" s="4"/>
      <c r="I15" s="4"/>
      <c r="J15" s="4"/>
      <c r="K15" s="4"/>
      <c r="L15" s="4"/>
      <c r="M15" s="4"/>
      <c r="N15" s="5" t="n">
        <f aca="false">IF(M15&lt;&gt;"",M15,IF(L15&lt;&gt;"",L15,IF(K15&lt;&gt;"",K15,IF(J15&lt;&gt;"",J15,IF(I15&lt;&gt;"",I15,IF(H15&lt;&gt;"",H15,IF(G15&lt;&gt;"",G15,IF(F15&lt;&gt;"",F15,IF(E15&lt;&gt;"",E15,IF(D15&lt;&gt;"",D15,IF(C15&lt;&gt;"",C15,IF(B15&lt;&gt;"",B15,""))))))))))))</f>
        <v>0.9</v>
      </c>
      <c r="O15" s="3" t="n">
        <v>0.8</v>
      </c>
      <c r="P15" s="4" t="n">
        <f aca="false">SUMPRODUCT((C15:M15&lt;&gt;"")*(C15:M15&gt;=$O$15))</f>
        <v>2</v>
      </c>
      <c r="Q15" s="4" t="str">
        <f aca="false">IF(P15&gt;=3,"SI","NO")</f>
        <v>NO</v>
      </c>
      <c r="R15" s="4" t="str">
        <f aca="false">IF(N15="","",IF(N15&lt;0.5,"Debil",IF(N15&lt;0.8,"Media","Fuerte")))</f>
        <v>Fuerte</v>
      </c>
      <c r="S15" s="4"/>
      <c r="T15" s="6" t="s">
        <v>44</v>
      </c>
    </row>
    <row r="16" customFormat="false" ht="15" hidden="false" customHeight="false" outlineLevel="0" collapsed="false">
      <c r="A16" s="2" t="s">
        <v>45</v>
      </c>
      <c r="B16" s="3" t="n">
        <v>0.9</v>
      </c>
      <c r="C16" s="3" t="n">
        <v>1</v>
      </c>
      <c r="D16" s="4"/>
      <c r="E16" s="4"/>
      <c r="F16" s="4"/>
      <c r="G16" s="4"/>
      <c r="H16" s="4"/>
      <c r="I16" s="4"/>
      <c r="J16" s="4"/>
      <c r="K16" s="4"/>
      <c r="L16" s="4"/>
      <c r="M16" s="4"/>
      <c r="N16" s="5" t="n">
        <f aca="false">IF(M16&lt;&gt;"",M16,IF(L16&lt;&gt;"",L16,IF(K16&lt;&gt;"",K16,IF(J16&lt;&gt;"",J16,IF(I16&lt;&gt;"",I16,IF(H16&lt;&gt;"",H16,IF(G16&lt;&gt;"",G16,IF(F16&lt;&gt;"",F16,IF(E16&lt;&gt;"",E16,IF(D16&lt;&gt;"",D16,IF(C16&lt;&gt;"",C16,IF(B16&lt;&gt;"",B16,""))))))))))))</f>
        <v>1</v>
      </c>
      <c r="O16" s="3" t="n">
        <v>0.8</v>
      </c>
      <c r="P16" s="4" t="n">
        <f aca="false">SUMPRODUCT((C16:M16&lt;&gt;"")*(C16:M16&gt;=$O$16))</f>
        <v>1</v>
      </c>
      <c r="Q16" s="4" t="str">
        <f aca="false">IF(P16&gt;=3,"SI","NO")</f>
        <v>NO</v>
      </c>
      <c r="R16" s="4" t="str">
        <f aca="false">IF(N16="","",IF(N16&lt;0.5,"Debil",IF(N16&lt;0.8,"Media","Fuerte")))</f>
        <v>Fuerte</v>
      </c>
      <c r="S16" s="4"/>
      <c r="T16" s="6" t="s">
        <v>39</v>
      </c>
    </row>
    <row r="17" customFormat="false" ht="15" hidden="false" customHeight="false" outlineLevel="0" collapsed="false">
      <c r="A17" s="2" t="s">
        <v>46</v>
      </c>
      <c r="B17" s="3" t="n">
        <v>0.45</v>
      </c>
      <c r="C17" s="4"/>
      <c r="D17" s="4"/>
      <c r="E17" s="4"/>
      <c r="F17" s="4"/>
      <c r="G17" s="4"/>
      <c r="H17" s="4"/>
      <c r="I17" s="4"/>
      <c r="J17" s="4"/>
      <c r="K17" s="4"/>
      <c r="L17" s="4"/>
      <c r="M17" s="4"/>
      <c r="N17" s="5" t="n">
        <f aca="false">IF(M17&lt;&gt;"",M17,IF(L17&lt;&gt;"",L17,IF(K17&lt;&gt;"",K17,IF(J17&lt;&gt;"",J17,IF(I17&lt;&gt;"",I17,IF(H17&lt;&gt;"",H17,IF(G17&lt;&gt;"",G17,IF(F17&lt;&gt;"",F17,IF(E17&lt;&gt;"",E17,IF(D17&lt;&gt;"",D17,IF(C17&lt;&gt;"",C17,IF(B17&lt;&gt;"",B17,""))))))))))))</f>
        <v>0.45</v>
      </c>
      <c r="O17" s="3" t="n">
        <v>0.8</v>
      </c>
      <c r="P17" s="4" t="n">
        <f aca="false">SUMPRODUCT((C17:M17&lt;&gt;"")*(C17:M17&gt;=$O$17))</f>
        <v>0</v>
      </c>
      <c r="Q17" s="4" t="str">
        <f aca="false">IF(P17&gt;=3,"SI","NO")</f>
        <v>NO</v>
      </c>
      <c r="R17" s="4" t="str">
        <f aca="false">IF(N17="","",IF(N17&lt;0.5,"Debil",IF(N17&lt;0.8,"Media","Fuerte")))</f>
        <v>Debil</v>
      </c>
      <c r="S17" s="4"/>
      <c r="T17" s="6"/>
    </row>
    <row r="18" customFormat="false" ht="32.8" hidden="false" customHeight="false" outlineLevel="0" collapsed="false">
      <c r="A18" s="7" t="s">
        <v>47</v>
      </c>
      <c r="B18" s="8" t="n">
        <v>0.8</v>
      </c>
      <c r="C18" s="9"/>
      <c r="D18" s="8" t="n">
        <v>0.55</v>
      </c>
      <c r="E18" s="8" t="n">
        <v>0.75</v>
      </c>
      <c r="F18" s="8" t="n">
        <v>0.8</v>
      </c>
      <c r="G18" s="9"/>
      <c r="H18" s="9"/>
      <c r="I18" s="8" t="n">
        <v>0.9</v>
      </c>
      <c r="J18" s="8" t="n">
        <v>0.9</v>
      </c>
      <c r="K18" s="9"/>
      <c r="L18" s="9"/>
      <c r="M18" s="9"/>
      <c r="N18" s="10" t="n">
        <f aca="false">IF(M18&lt;&gt;"",M18,IF(L18&lt;&gt;"",L18,IF(K18&lt;&gt;"",K18,IF(J18&lt;&gt;"",J18,IF(I18&lt;&gt;"",I18,IF(H18&lt;&gt;"",H18,IF(G18&lt;&gt;"",G18,IF(F18&lt;&gt;"",F18,IF(E18&lt;&gt;"",E18,IF(D18&lt;&gt;"",D18,IF(C18&lt;&gt;"",C18,IF(B18&lt;&gt;"",B18,""))))))))))))</f>
        <v>0.9</v>
      </c>
      <c r="O18" s="8" t="n">
        <v>0.8</v>
      </c>
      <c r="P18" s="9" t="n">
        <f aca="false">SUMPRODUCT((C18:M18&lt;&gt;"")*(C18:M18&gt;=$O$18))</f>
        <v>3</v>
      </c>
      <c r="Q18" s="9" t="str">
        <f aca="false">IF(P18&gt;=3,"SI","NO")</f>
        <v>SI</v>
      </c>
      <c r="R18" s="9" t="str">
        <f aca="false">IF(N18="","",IF(N18&lt;0.5,"Debil",IF(N18&lt;0.8,"Media","Fuerte")))</f>
        <v>Fuerte</v>
      </c>
      <c r="S18" s="9" t="s">
        <v>24</v>
      </c>
      <c r="T18" s="11" t="s">
        <v>48</v>
      </c>
    </row>
    <row r="19" customFormat="false" ht="15" hidden="false" customHeight="false" outlineLevel="0" collapsed="false">
      <c r="A19" s="2" t="s">
        <v>49</v>
      </c>
      <c r="B19" s="3" t="n">
        <v>0.6</v>
      </c>
      <c r="C19" s="4"/>
      <c r="D19" s="4"/>
      <c r="E19" s="4"/>
      <c r="F19" s="4"/>
      <c r="G19" s="4"/>
      <c r="H19" s="4"/>
      <c r="I19" s="4"/>
      <c r="J19" s="4"/>
      <c r="K19" s="4"/>
      <c r="L19" s="4"/>
      <c r="M19" s="4"/>
      <c r="N19" s="5" t="n">
        <f aca="false">IF(M19&lt;&gt;"",M19,IF(L19&lt;&gt;"",L19,IF(K19&lt;&gt;"",K19,IF(J19&lt;&gt;"",J19,IF(I19&lt;&gt;"",I19,IF(H19&lt;&gt;"",H19,IF(G19&lt;&gt;"",G19,IF(F19&lt;&gt;"",F19,IF(E19&lt;&gt;"",E19,IF(D19&lt;&gt;"",D19,IF(C19&lt;&gt;"",C19,IF(B19&lt;&gt;"",B19,""))))))))))))</f>
        <v>0.6</v>
      </c>
      <c r="O19" s="3" t="n">
        <v>0.8</v>
      </c>
      <c r="P19" s="4" t="n">
        <f aca="false">SUMPRODUCT((C19:M19&lt;&gt;"")*(C19:M19&gt;=$O$19))</f>
        <v>0</v>
      </c>
      <c r="Q19" s="4" t="str">
        <f aca="false">IF(P19&gt;=3,"SI","NO")</f>
        <v>NO</v>
      </c>
      <c r="R19" s="4" t="str">
        <f aca="false">IF(N19="","",IF(N19&lt;0.5,"Debil",IF(N19&lt;0.8,"Media","Fuerte")))</f>
        <v>Media</v>
      </c>
      <c r="S19" s="4"/>
      <c r="T19" s="6"/>
    </row>
    <row r="20" customFormat="false" ht="15" hidden="false" customHeight="false" outlineLevel="0" collapsed="false">
      <c r="A20" s="2" t="s">
        <v>50</v>
      </c>
      <c r="B20" s="3" t="n">
        <v>0.8</v>
      </c>
      <c r="C20" s="4"/>
      <c r="D20" s="3" t="n">
        <v>0.8</v>
      </c>
      <c r="E20" s="3" t="n">
        <v>0.55</v>
      </c>
      <c r="F20" s="3" t="n">
        <v>0.65</v>
      </c>
      <c r="G20" s="4"/>
      <c r="H20" s="4"/>
      <c r="I20" s="4"/>
      <c r="J20" s="4"/>
      <c r="K20" s="4"/>
      <c r="L20" s="4"/>
      <c r="M20" s="4"/>
      <c r="N20" s="5" t="n">
        <f aca="false">IF(M20&lt;&gt;"",M20,IF(L20&lt;&gt;"",L20,IF(K20&lt;&gt;"",K20,IF(J20&lt;&gt;"",J20,IF(I20&lt;&gt;"",I20,IF(H20&lt;&gt;"",H20,IF(G20&lt;&gt;"",G20,IF(F20&lt;&gt;"",F20,IF(E20&lt;&gt;"",E20,IF(D20&lt;&gt;"",D20,IF(C20&lt;&gt;"",C20,IF(B20&lt;&gt;"",B20,""))))))))))))</f>
        <v>0.65</v>
      </c>
      <c r="O20" s="3" t="n">
        <v>0.8</v>
      </c>
      <c r="P20" s="4" t="n">
        <f aca="false">SUMPRODUCT((C20:M20&lt;&gt;"")*(C20:M20&gt;=$O$20))</f>
        <v>1</v>
      </c>
      <c r="Q20" s="4" t="str">
        <f aca="false">IF(P20&gt;=3,"SI","NO")</f>
        <v>NO</v>
      </c>
      <c r="R20" s="4" t="str">
        <f aca="false">IF(N20="","",IF(N20&lt;0.5,"Debil",IF(N20&lt;0.8,"Media","Fuerte")))</f>
        <v>Media</v>
      </c>
      <c r="S20" s="4"/>
      <c r="T20" s="6" t="s">
        <v>51</v>
      </c>
    </row>
    <row r="21" customFormat="false" ht="15" hidden="false" customHeight="false" outlineLevel="0" collapsed="false">
      <c r="A21" s="2" t="s">
        <v>52</v>
      </c>
      <c r="B21" s="3" t="n">
        <v>0.7</v>
      </c>
      <c r="C21" s="4"/>
      <c r="D21" s="4"/>
      <c r="E21" s="4"/>
      <c r="F21" s="4"/>
      <c r="G21" s="4"/>
      <c r="H21" s="4"/>
      <c r="I21" s="4"/>
      <c r="J21" s="4"/>
      <c r="K21" s="4"/>
      <c r="L21" s="4"/>
      <c r="M21" s="4"/>
      <c r="N21" s="5" t="n">
        <f aca="false">IF(M21&lt;&gt;"",M21,IF(L21&lt;&gt;"",L21,IF(K21&lt;&gt;"",K21,IF(J21&lt;&gt;"",J21,IF(I21&lt;&gt;"",I21,IF(H21&lt;&gt;"",H21,IF(G21&lt;&gt;"",G21,IF(F21&lt;&gt;"",F21,IF(E21&lt;&gt;"",E21,IF(D21&lt;&gt;"",D21,IF(C21&lt;&gt;"",C21,IF(B21&lt;&gt;"",B21,""))))))))))))</f>
        <v>0.7</v>
      </c>
      <c r="O21" s="3" t="n">
        <v>0.8</v>
      </c>
      <c r="P21" s="4" t="n">
        <f aca="false">SUMPRODUCT((C21:M21&lt;&gt;"")*(C21:M21&gt;=$O$21))</f>
        <v>0</v>
      </c>
      <c r="Q21" s="4" t="str">
        <f aca="false">IF(P21&gt;=3,"SI","NO")</f>
        <v>NO</v>
      </c>
      <c r="R21" s="4" t="str">
        <f aca="false">IF(N21="","",IF(N21&lt;0.5,"Debil",IF(N21&lt;0.8,"Media","Fuerte")))</f>
        <v>Media</v>
      </c>
      <c r="S21" s="4"/>
      <c r="T21" s="6" t="s">
        <v>53</v>
      </c>
    </row>
    <row r="22" customFormat="false" ht="15" hidden="false" customHeight="false" outlineLevel="0" collapsed="false">
      <c r="A22" s="2" t="s">
        <v>54</v>
      </c>
      <c r="B22" s="3" t="n">
        <v>0.55</v>
      </c>
      <c r="C22" s="4"/>
      <c r="D22" s="4"/>
      <c r="E22" s="4"/>
      <c r="F22" s="4"/>
      <c r="G22" s="4"/>
      <c r="H22" s="4"/>
      <c r="I22" s="4"/>
      <c r="J22" s="4"/>
      <c r="K22" s="4"/>
      <c r="L22" s="4"/>
      <c r="M22" s="4"/>
      <c r="N22" s="5" t="n">
        <f aca="false">IF(M22&lt;&gt;"",M22,IF(L22&lt;&gt;"",L22,IF(K22&lt;&gt;"",K22,IF(J22&lt;&gt;"",J22,IF(I22&lt;&gt;"",I22,IF(H22&lt;&gt;"",H22,IF(G22&lt;&gt;"",G22,IF(F22&lt;&gt;"",F22,IF(E22&lt;&gt;"",E22,IF(D22&lt;&gt;"",D22,IF(C22&lt;&gt;"",C22,IF(B22&lt;&gt;"",B22,""))))))))))))</f>
        <v>0.55</v>
      </c>
      <c r="O22" s="3" t="n">
        <v>0.8</v>
      </c>
      <c r="P22" s="4" t="n">
        <f aca="false">SUMPRODUCT((C22:M22&lt;&gt;"")*(C22:M22&gt;=$O$22))</f>
        <v>0</v>
      </c>
      <c r="Q22" s="4" t="str">
        <f aca="false">IF(P22&gt;=3,"SI","NO")</f>
        <v>NO</v>
      </c>
      <c r="R22" s="4" t="str">
        <f aca="false">IF(N22="","",IF(N22&lt;0.5,"Debil",IF(N22&lt;0.8,"Media","Fuerte")))</f>
        <v>Media</v>
      </c>
      <c r="S22" s="4"/>
      <c r="T22" s="6"/>
    </row>
    <row r="23" customFormat="false" ht="32.8" hidden="false" customHeight="false" outlineLevel="0" collapsed="false">
      <c r="A23" s="7" t="s">
        <v>55</v>
      </c>
      <c r="B23" s="8" t="n">
        <v>0.92</v>
      </c>
      <c r="C23" s="8" t="n">
        <v>0.9</v>
      </c>
      <c r="D23" s="9"/>
      <c r="E23" s="9"/>
      <c r="F23" s="8" t="n">
        <v>0.55</v>
      </c>
      <c r="G23" s="8" t="n">
        <v>0.35</v>
      </c>
      <c r="H23" s="9"/>
      <c r="I23" s="8" t="n">
        <v>0.75</v>
      </c>
      <c r="J23" s="8" t="n">
        <v>0.75</v>
      </c>
      <c r="K23" s="9"/>
      <c r="L23" s="9"/>
      <c r="M23" s="9"/>
      <c r="N23" s="10" t="n">
        <f aca="false">IF(M23&lt;&gt;"",M23,IF(L23&lt;&gt;"",L23,IF(K23&lt;&gt;"",K23,IF(J23&lt;&gt;"",J23,IF(I23&lt;&gt;"",I23,IF(H23&lt;&gt;"",H23,IF(G23&lt;&gt;"",G23,IF(F23&lt;&gt;"",F23,IF(E23&lt;&gt;"",E23,IF(D23&lt;&gt;"",D23,IF(C23&lt;&gt;"",C23,IF(B23&lt;&gt;"",B23,""))))))))))))</f>
        <v>0.75</v>
      </c>
      <c r="O23" s="8" t="n">
        <v>0.8</v>
      </c>
      <c r="P23" s="9" t="n">
        <f aca="false">SUMPRODUCT((C23:M23&lt;&gt;"")*(C23:M23&gt;=$O$23))</f>
        <v>1</v>
      </c>
      <c r="Q23" s="9" t="str">
        <f aca="false">IF(P23&gt;=3,"SI","NO")</f>
        <v>NO</v>
      </c>
      <c r="R23" s="9" t="str">
        <f aca="false">IF(N23="","",IF(N23&lt;0.5,"Debil",IF(N23&lt;0.8,"Media","Fuerte")))</f>
        <v>Media</v>
      </c>
      <c r="S23" s="9" t="s">
        <v>24</v>
      </c>
      <c r="T23" s="11" t="s">
        <v>56</v>
      </c>
    </row>
    <row r="24" customFormat="false" ht="15" hidden="false" customHeight="false" outlineLevel="0" collapsed="false">
      <c r="A24" s="2" t="s">
        <v>57</v>
      </c>
      <c r="B24" s="3" t="n">
        <v>0.88</v>
      </c>
      <c r="C24" s="4"/>
      <c r="D24" s="4"/>
      <c r="E24" s="4"/>
      <c r="F24" s="4"/>
      <c r="G24" s="4"/>
      <c r="H24" s="4"/>
      <c r="I24" s="4"/>
      <c r="J24" s="4"/>
      <c r="K24" s="4"/>
      <c r="L24" s="4"/>
      <c r="M24" s="4"/>
      <c r="N24" s="5" t="n">
        <f aca="false">IF(M24&lt;&gt;"",M24,IF(L24&lt;&gt;"",L24,IF(K24&lt;&gt;"",K24,IF(J24&lt;&gt;"",J24,IF(I24&lt;&gt;"",I24,IF(H24&lt;&gt;"",H24,IF(G24&lt;&gt;"",G24,IF(F24&lt;&gt;"",F24,IF(E24&lt;&gt;"",E24,IF(D24&lt;&gt;"",D24,IF(C24&lt;&gt;"",C24,IF(B24&lt;&gt;"",B24,""))))))))))))</f>
        <v>0.88</v>
      </c>
      <c r="O24" s="3" t="n">
        <v>0.8</v>
      </c>
      <c r="P24" s="4" t="n">
        <f aca="false">SUMPRODUCT((C24:M24&lt;&gt;"")*(C24:M24&gt;=$O$24))</f>
        <v>0</v>
      </c>
      <c r="Q24" s="4" t="str">
        <f aca="false">IF(P24&gt;=3,"SI","NO")</f>
        <v>NO</v>
      </c>
      <c r="R24" s="4" t="str">
        <f aca="false">IF(N24="","",IF(N24&lt;0.5,"Debil",IF(N24&lt;0.8,"Media","Fuerte")))</f>
        <v>Fuerte</v>
      </c>
      <c r="S24" s="4"/>
      <c r="T24" s="6"/>
    </row>
    <row r="25" customFormat="false" ht="32.8" hidden="false" customHeight="false" outlineLevel="0" collapsed="false">
      <c r="A25" s="17" t="s">
        <v>58</v>
      </c>
      <c r="B25" s="18" t="n">
        <v>0.5</v>
      </c>
      <c r="C25" s="19"/>
      <c r="D25" s="19"/>
      <c r="E25" s="19"/>
      <c r="F25" s="19"/>
      <c r="G25" s="19"/>
      <c r="H25" s="19"/>
      <c r="I25" s="19"/>
      <c r="J25" s="19"/>
      <c r="K25" s="19"/>
      <c r="L25" s="18" t="n">
        <v>1</v>
      </c>
      <c r="M25" s="19"/>
      <c r="N25" s="20" t="n">
        <f aca="false">IF(M25&lt;&gt;"",M25,IF(L25&lt;&gt;"",L25,IF(K25&lt;&gt;"",K25,IF(J25&lt;&gt;"",J25,IF(I25&lt;&gt;"",I25,IF(H25&lt;&gt;"",H25,IF(G25&lt;&gt;"",G25,IF(F25&lt;&gt;"",F25,IF(E25&lt;&gt;"",E25,IF(D25&lt;&gt;"",D25,IF(C25&lt;&gt;"",C25,IF(B25&lt;&gt;"",B25,""))))))))))))</f>
        <v>1</v>
      </c>
      <c r="O25" s="18" t="n">
        <v>0.8</v>
      </c>
      <c r="P25" s="19" t="n">
        <f aca="false">SUMPRODUCT((C25:M25&lt;&gt;"")*(C25:M25&gt;=$O$25))</f>
        <v>1</v>
      </c>
      <c r="Q25" s="19" t="str">
        <f aca="false">IF(P25&gt;=3,"SI","NO")</f>
        <v>NO</v>
      </c>
      <c r="R25" s="19" t="str">
        <f aca="false">IF(N25="","",IF(N25&lt;0.5,"Debil",IF(N25&lt;0.8,"Media","Fuerte")))</f>
        <v>Fuerte</v>
      </c>
      <c r="S25" s="19" t="s">
        <v>24</v>
      </c>
      <c r="T25" s="21" t="s">
        <v>59</v>
      </c>
    </row>
    <row r="26" customFormat="false" ht="15" hidden="false" customHeight="false" outlineLevel="0" collapsed="false">
      <c r="A26" s="2" t="s">
        <v>60</v>
      </c>
      <c r="B26" s="3" t="n">
        <v>0.4</v>
      </c>
      <c r="C26" s="4"/>
      <c r="D26" s="4"/>
      <c r="E26" s="4"/>
      <c r="F26" s="4"/>
      <c r="G26" s="4"/>
      <c r="H26" s="4"/>
      <c r="I26" s="4"/>
      <c r="J26" s="4"/>
      <c r="K26" s="4"/>
      <c r="L26" s="4"/>
      <c r="M26" s="4"/>
      <c r="N26" s="5" t="n">
        <f aca="false">IF(M26&lt;&gt;"",M26,IF(L26&lt;&gt;"",L26,IF(K26&lt;&gt;"",K26,IF(J26&lt;&gt;"",J26,IF(I26&lt;&gt;"",I26,IF(H26&lt;&gt;"",H26,IF(G26&lt;&gt;"",G26,IF(F26&lt;&gt;"",F26,IF(E26&lt;&gt;"",E26,IF(D26&lt;&gt;"",D26,IF(C26&lt;&gt;"",C26,IF(B26&lt;&gt;"",B26,""))))))))))))</f>
        <v>0.4</v>
      </c>
      <c r="O26" s="3" t="n">
        <v>0.8</v>
      </c>
      <c r="P26" s="4" t="n">
        <f aca="false">SUMPRODUCT((C26:M26&lt;&gt;"")*(C26:M26&gt;=$O$26))</f>
        <v>0</v>
      </c>
      <c r="Q26" s="4" t="str">
        <f aca="false">IF(P26&gt;=3,"SI","NO")</f>
        <v>NO</v>
      </c>
      <c r="R26" s="4" t="str">
        <f aca="false">IF(N26="","",IF(N26&lt;0.5,"Debil",IF(N26&lt;0.8,"Media","Fuerte")))</f>
        <v>Debil</v>
      </c>
      <c r="S26" s="4"/>
      <c r="T26" s="6"/>
    </row>
    <row r="27" customFormat="false" ht="22.35" hidden="false" customHeight="false" outlineLevel="0" collapsed="false">
      <c r="A27" s="7" t="s">
        <v>61</v>
      </c>
      <c r="B27" s="8" t="n">
        <v>0.5</v>
      </c>
      <c r="C27" s="9"/>
      <c r="D27" s="9"/>
      <c r="E27" s="9"/>
      <c r="F27" s="9"/>
      <c r="G27" s="9"/>
      <c r="H27" s="9"/>
      <c r="I27" s="9"/>
      <c r="J27" s="9"/>
      <c r="K27" s="9"/>
      <c r="L27" s="9"/>
      <c r="M27" s="9"/>
      <c r="N27" s="10" t="n">
        <f aca="false">IF(M27&lt;&gt;"",M27,IF(L27&lt;&gt;"",L27,IF(K27&lt;&gt;"",K27,IF(J27&lt;&gt;"",J27,IF(I27&lt;&gt;"",I27,IF(H27&lt;&gt;"",H27,IF(G27&lt;&gt;"",G27,IF(F27&lt;&gt;"",F27,IF(E27&lt;&gt;"",E27,IF(D27&lt;&gt;"",D27,IF(C27&lt;&gt;"",C27,IF(B27&lt;&gt;"",B27,""))))))))))))</f>
        <v>0.5</v>
      </c>
      <c r="O27" s="8" t="n">
        <v>0.8</v>
      </c>
      <c r="P27" s="9" t="n">
        <f aca="false">SUMPRODUCT((C27:M27&lt;&gt;"")*(C27:M27&gt;=$O$27))</f>
        <v>0</v>
      </c>
      <c r="Q27" s="9" t="str">
        <f aca="false">IF(P27&gt;=3,"SI","NO")</f>
        <v>NO</v>
      </c>
      <c r="R27" s="9" t="str">
        <f aca="false">IF(N27="","",IF(N27&lt;0.5,"Debil",IF(N27&lt;0.8,"Media","Fuerte")))</f>
        <v>Media</v>
      </c>
      <c r="S27" s="9" t="s">
        <v>24</v>
      </c>
      <c r="T27" s="11" t="s">
        <v>62</v>
      </c>
    </row>
    <row r="28" customFormat="false" ht="32.8" hidden="false" customHeight="false" outlineLevel="0" collapsed="false">
      <c r="A28" s="7" t="s">
        <v>63</v>
      </c>
      <c r="B28" s="8" t="n">
        <v>0.85</v>
      </c>
      <c r="C28" s="8" t="n">
        <v>0.95</v>
      </c>
      <c r="D28" s="9"/>
      <c r="E28" s="9"/>
      <c r="F28" s="9"/>
      <c r="G28" s="9"/>
      <c r="H28" s="9"/>
      <c r="I28" s="9"/>
      <c r="J28" s="9"/>
      <c r="K28" s="9"/>
      <c r="L28" s="9"/>
      <c r="M28" s="9"/>
      <c r="N28" s="10" t="n">
        <f aca="false">IF(M28&lt;&gt;"",M28,IF(L28&lt;&gt;"",L28,IF(K28&lt;&gt;"",K28,IF(J28&lt;&gt;"",J28,IF(I28&lt;&gt;"",I28,IF(H28&lt;&gt;"",H28,IF(G28&lt;&gt;"",G28,IF(F28&lt;&gt;"",F28,IF(E28&lt;&gt;"",E28,IF(D28&lt;&gt;"",D28,IF(C28&lt;&gt;"",C28,IF(B28&lt;&gt;"",B28,""))))))))))))</f>
        <v>0.95</v>
      </c>
      <c r="O28" s="8" t="n">
        <v>0.8</v>
      </c>
      <c r="P28" s="9" t="n">
        <f aca="false">SUMPRODUCT((C28:M28&lt;&gt;"")*(C28:M28&gt;=$O$28))</f>
        <v>1</v>
      </c>
      <c r="Q28" s="9" t="str">
        <f aca="false">IF(P28&gt;=3,"SI","NO")</f>
        <v>NO</v>
      </c>
      <c r="R28" s="9" t="str">
        <f aca="false">IF(N28="","",IF(N28&lt;0.5,"Debil",IF(N28&lt;0.8,"Media","Fuerte")))</f>
        <v>Fuerte</v>
      </c>
      <c r="S28" s="9" t="s">
        <v>24</v>
      </c>
      <c r="T28" s="11" t="s">
        <v>64</v>
      </c>
    </row>
    <row r="29" customFormat="false" ht="15" hidden="false" customHeight="false" outlineLevel="0" collapsed="false">
      <c r="A29" s="2" t="s">
        <v>65</v>
      </c>
      <c r="B29" s="3" t="n">
        <v>0.9</v>
      </c>
      <c r="C29" s="3" t="n">
        <v>0.55</v>
      </c>
      <c r="D29" s="3" t="n">
        <v>0.45</v>
      </c>
      <c r="E29" s="3" t="n">
        <v>0.8</v>
      </c>
      <c r="F29" s="3" t="n">
        <v>0.65</v>
      </c>
      <c r="G29" s="3" t="n">
        <v>0.65</v>
      </c>
      <c r="H29" s="4"/>
      <c r="I29" s="4"/>
      <c r="J29" s="4"/>
      <c r="K29" s="4"/>
      <c r="L29" s="4"/>
      <c r="M29" s="4"/>
      <c r="N29" s="5" t="n">
        <f aca="false">IF(M29&lt;&gt;"",M29,IF(L29&lt;&gt;"",L29,IF(K29&lt;&gt;"",K29,IF(J29&lt;&gt;"",J29,IF(I29&lt;&gt;"",I29,IF(H29&lt;&gt;"",H29,IF(G29&lt;&gt;"",G29,IF(F29&lt;&gt;"",F29,IF(E29&lt;&gt;"",E29,IF(D29&lt;&gt;"",D29,IF(C29&lt;&gt;"",C29,IF(B29&lt;&gt;"",B29,""))))))))))))</f>
        <v>0.65</v>
      </c>
      <c r="O29" s="3" t="n">
        <v>0.8</v>
      </c>
      <c r="P29" s="4" t="n">
        <f aca="false">SUMPRODUCT((C29:M29&lt;&gt;"")*(C29:M29&gt;=$O$29))</f>
        <v>1</v>
      </c>
      <c r="Q29" s="4" t="str">
        <f aca="false">IF(P29&gt;=3,"SI","NO")</f>
        <v>NO</v>
      </c>
      <c r="R29" s="4" t="str">
        <f aca="false">IF(N29="","",IF(N29&lt;0.5,"Debil",IF(N29&lt;0.8,"Media","Fuerte")))</f>
        <v>Media</v>
      </c>
      <c r="S29" s="4"/>
      <c r="T29" s="6" t="s">
        <v>66</v>
      </c>
    </row>
    <row r="30" customFormat="false" ht="22.35" hidden="false" customHeight="false" outlineLevel="0" collapsed="false">
      <c r="A30" s="2" t="s">
        <v>67</v>
      </c>
      <c r="B30" s="3" t="n">
        <v>0.9</v>
      </c>
      <c r="C30" s="3" t="n">
        <v>0.5</v>
      </c>
      <c r="D30" s="3" t="n">
        <v>0.35</v>
      </c>
      <c r="E30" s="3" t="n">
        <v>0.75</v>
      </c>
      <c r="F30" s="3" t="n">
        <v>0.6</v>
      </c>
      <c r="G30" s="3" t="n">
        <v>0.8</v>
      </c>
      <c r="H30" s="4"/>
      <c r="I30" s="3" t="n">
        <v>0.55</v>
      </c>
      <c r="J30" s="3" t="n">
        <v>0.7</v>
      </c>
      <c r="K30" s="3" t="n">
        <v>0.93</v>
      </c>
      <c r="L30" s="4"/>
      <c r="M30" s="4"/>
      <c r="N30" s="5" t="n">
        <f aca="false">IF(M30&lt;&gt;"",M30,IF(L30&lt;&gt;"",L30,IF(K30&lt;&gt;"",K30,IF(J30&lt;&gt;"",J30,IF(I30&lt;&gt;"",I30,IF(H30&lt;&gt;"",H30,IF(G30&lt;&gt;"",G30,IF(F30&lt;&gt;"",F30,IF(E30&lt;&gt;"",E30,IF(D30&lt;&gt;"",D30,IF(C30&lt;&gt;"",C30,IF(B30&lt;&gt;"",B30,""))))))))))))</f>
        <v>0.93</v>
      </c>
      <c r="O30" s="3" t="n">
        <v>0.8</v>
      </c>
      <c r="P30" s="4" t="n">
        <f aca="false">SUMPRODUCT((C30:M30&lt;&gt;"")*(C30:M30&gt;=$O$30))</f>
        <v>2</v>
      </c>
      <c r="Q30" s="4" t="str">
        <f aca="false">IF(P30&gt;=3,"SI","NO")</f>
        <v>NO</v>
      </c>
      <c r="R30" s="4" t="str">
        <f aca="false">IF(N30="","",IF(N30&lt;0.5,"Debil",IF(N30&lt;0.8,"Media","Fuerte")))</f>
        <v>Fuerte</v>
      </c>
      <c r="S30" s="4"/>
      <c r="T30" s="6" t="s">
        <v>68</v>
      </c>
    </row>
    <row r="31" customFormat="false" ht="32.8" hidden="false" customHeight="false" outlineLevel="0" collapsed="false">
      <c r="A31" s="7" t="s">
        <v>69</v>
      </c>
      <c r="B31" s="8" t="n">
        <v>0.6</v>
      </c>
      <c r="C31" s="9"/>
      <c r="D31" s="9"/>
      <c r="E31" s="9"/>
      <c r="F31" s="9"/>
      <c r="G31" s="9"/>
      <c r="H31" s="9"/>
      <c r="I31" s="9"/>
      <c r="J31" s="9"/>
      <c r="K31" s="9"/>
      <c r="L31" s="9"/>
      <c r="M31" s="9"/>
      <c r="N31" s="10" t="n">
        <f aca="false">IF(M31&lt;&gt;"",M31,IF(L31&lt;&gt;"",L31,IF(K31&lt;&gt;"",K31,IF(J31&lt;&gt;"",J31,IF(I31&lt;&gt;"",I31,IF(H31&lt;&gt;"",H31,IF(G31&lt;&gt;"",G31,IF(F31&lt;&gt;"",F31,IF(E31&lt;&gt;"",E31,IF(D31&lt;&gt;"",D31,IF(C31&lt;&gt;"",C31,IF(B31&lt;&gt;"",B31,""))))))))))))</f>
        <v>0.6</v>
      </c>
      <c r="O31" s="8" t="n">
        <v>0.8</v>
      </c>
      <c r="P31" s="9" t="n">
        <f aca="false">SUMPRODUCT((C31:M31&lt;&gt;"")*(C31:M31&gt;=$O$31))</f>
        <v>0</v>
      </c>
      <c r="Q31" s="9" t="str">
        <f aca="false">IF(P31&gt;=3,"SI","NO")</f>
        <v>NO</v>
      </c>
      <c r="R31" s="9" t="str">
        <f aca="false">IF(N31="","",IF(N31&lt;0.5,"Debil",IF(N31&lt;0.8,"Media","Fuerte")))</f>
        <v>Media</v>
      </c>
      <c r="S31" s="9" t="s">
        <v>24</v>
      </c>
      <c r="T31" s="11" t="s">
        <v>70</v>
      </c>
    </row>
    <row r="32" customFormat="false" ht="15" hidden="false" customHeight="false" outlineLevel="0" collapsed="false">
      <c r="A32" s="2" t="s">
        <v>71</v>
      </c>
      <c r="B32" s="3" t="n">
        <v>0.6</v>
      </c>
      <c r="C32" s="4"/>
      <c r="D32" s="4"/>
      <c r="E32" s="4"/>
      <c r="F32" s="4"/>
      <c r="G32" s="4"/>
      <c r="H32" s="4"/>
      <c r="I32" s="4"/>
      <c r="J32" s="4"/>
      <c r="K32" s="4"/>
      <c r="L32" s="4"/>
      <c r="M32" s="4"/>
      <c r="N32" s="5" t="n">
        <f aca="false">IF(M32&lt;&gt;"",M32,IF(L32&lt;&gt;"",L32,IF(K32&lt;&gt;"",K32,IF(J32&lt;&gt;"",J32,IF(I32&lt;&gt;"",I32,IF(H32&lt;&gt;"",H32,IF(G32&lt;&gt;"",G32,IF(F32&lt;&gt;"",F32,IF(E32&lt;&gt;"",E32,IF(D32&lt;&gt;"",D32,IF(C32&lt;&gt;"",C32,IF(B32&lt;&gt;"",B32,""))))))))))))</f>
        <v>0.6</v>
      </c>
      <c r="O32" s="3" t="n">
        <v>0.8</v>
      </c>
      <c r="P32" s="4" t="n">
        <f aca="false">SUMPRODUCT((C32:M32&lt;&gt;"")*(C32:M32&gt;=$O$32))</f>
        <v>0</v>
      </c>
      <c r="Q32" s="4" t="str">
        <f aca="false">IF(P32&gt;=3,"SI","NO")</f>
        <v>NO</v>
      </c>
      <c r="R32" s="4" t="str">
        <f aca="false">IF(N32="","",IF(N32&lt;0.5,"Debil",IF(N32&lt;0.8,"Media","Fuerte")))</f>
        <v>Media</v>
      </c>
      <c r="S32" s="4"/>
      <c r="T32" s="6"/>
    </row>
    <row r="33" customFormat="false" ht="32.8" hidden="false" customHeight="false" outlineLevel="0" collapsed="false">
      <c r="A33" s="7" t="s">
        <v>72</v>
      </c>
      <c r="B33" s="8" t="n">
        <v>0.86</v>
      </c>
      <c r="C33" s="9"/>
      <c r="D33" s="8" t="n">
        <v>0.95</v>
      </c>
      <c r="E33" s="9"/>
      <c r="F33" s="8" t="n">
        <v>0.9</v>
      </c>
      <c r="G33" s="9"/>
      <c r="H33" s="9"/>
      <c r="I33" s="9"/>
      <c r="J33" s="9"/>
      <c r="K33" s="9"/>
      <c r="L33" s="9"/>
      <c r="M33" s="9"/>
      <c r="N33" s="10" t="n">
        <f aca="false">IF(M33&lt;&gt;"",M33,IF(L33&lt;&gt;"",L33,IF(K33&lt;&gt;"",K33,IF(J33&lt;&gt;"",J33,IF(I33&lt;&gt;"",I33,IF(H33&lt;&gt;"",H33,IF(G33&lt;&gt;"",G33,IF(F33&lt;&gt;"",F33,IF(E33&lt;&gt;"",E33,IF(D33&lt;&gt;"",D33,IF(C33&lt;&gt;"",C33,IF(B33&lt;&gt;"",B33,""))))))))))))</f>
        <v>0.9</v>
      </c>
      <c r="O33" s="8" t="n">
        <v>0.8</v>
      </c>
      <c r="P33" s="9" t="n">
        <f aca="false">SUMPRODUCT((C33:M33&lt;&gt;"")*(C33:M33&gt;=$O$33))</f>
        <v>2</v>
      </c>
      <c r="Q33" s="9" t="str">
        <f aca="false">IF(P33&gt;=3,"SI","NO")</f>
        <v>NO</v>
      </c>
      <c r="R33" s="9" t="str">
        <f aca="false">IF(N33="","",IF(N33&lt;0.5,"Debil",IF(N33&lt;0.8,"Media","Fuerte")))</f>
        <v>Fuerte</v>
      </c>
      <c r="S33" s="9" t="s">
        <v>24</v>
      </c>
      <c r="T33" s="11" t="s">
        <v>73</v>
      </c>
    </row>
    <row r="34" customFormat="false" ht="64.15" hidden="false" customHeight="false" outlineLevel="0" collapsed="false">
      <c r="A34" s="2" t="s">
        <v>74</v>
      </c>
      <c r="B34" s="3" t="n">
        <v>0.88</v>
      </c>
      <c r="C34" s="3" t="n">
        <v>0.25</v>
      </c>
      <c r="D34" s="3" t="n">
        <v>0.65</v>
      </c>
      <c r="E34" s="3" t="n">
        <v>0.55</v>
      </c>
      <c r="F34" s="3" t="n">
        <v>0.9</v>
      </c>
      <c r="G34" s="3" t="n">
        <v>0.75</v>
      </c>
      <c r="H34" s="4"/>
      <c r="I34" s="3" t="n">
        <v>0.35</v>
      </c>
      <c r="J34" s="3" t="n">
        <v>0.4</v>
      </c>
      <c r="K34" s="3" t="n">
        <v>0.7</v>
      </c>
      <c r="L34" s="3" t="n">
        <v>0.8</v>
      </c>
      <c r="M34" s="3" t="n">
        <v>0.85</v>
      </c>
      <c r="N34" s="5" t="n">
        <f aca="false">IF(M34&lt;&gt;"",M34,IF(L34&lt;&gt;"",L34,IF(K34&lt;&gt;"",K34,IF(J34&lt;&gt;"",J34,IF(I34&lt;&gt;"",I34,IF(H34&lt;&gt;"",H34,IF(G34&lt;&gt;"",G34,IF(F34&lt;&gt;"",F34,IF(E34&lt;&gt;"",E34,IF(D34&lt;&gt;"",D34,IF(C34&lt;&gt;"",C34,IF(B34&lt;&gt;"",B34,""))))))))))))</f>
        <v>0.85</v>
      </c>
      <c r="O34" s="3" t="n">
        <v>0.8</v>
      </c>
      <c r="P34" s="4" t="n">
        <f aca="false">SUMPRODUCT((C34:M34&lt;&gt;"")*(C34:M34&gt;=$O$34))</f>
        <v>3</v>
      </c>
      <c r="Q34" s="4" t="str">
        <f aca="false">IF(P34&gt;=3,"SI","NO")</f>
        <v>SI</v>
      </c>
      <c r="R34" s="4" t="str">
        <f aca="false">IF(N34="","",IF(N34&lt;0.5,"Debil",IF(N34&lt;0.8,"Media","Fuerte")))</f>
        <v>Fuerte</v>
      </c>
      <c r="S34" s="4"/>
      <c r="T34" s="6" t="s">
        <v>75</v>
      </c>
    </row>
    <row r="35" customFormat="false" ht="15" hidden="false" customHeight="false" outlineLevel="0" collapsed="false">
      <c r="A35" s="2" t="s">
        <v>76</v>
      </c>
      <c r="B35" s="3" t="n">
        <v>0.6</v>
      </c>
      <c r="C35" s="4"/>
      <c r="D35" s="4"/>
      <c r="E35" s="4"/>
      <c r="F35" s="4"/>
      <c r="G35" s="4"/>
      <c r="H35" s="4"/>
      <c r="I35" s="4"/>
      <c r="J35" s="4"/>
      <c r="K35" s="4"/>
      <c r="L35" s="4"/>
      <c r="M35" s="4"/>
      <c r="N35" s="5" t="n">
        <f aca="false">IF(M35&lt;&gt;"",M35,IF(L35&lt;&gt;"",L35,IF(K35&lt;&gt;"",K35,IF(J35&lt;&gt;"",J35,IF(I35&lt;&gt;"",I35,IF(H35&lt;&gt;"",H35,IF(G35&lt;&gt;"",G35,IF(F35&lt;&gt;"",F35,IF(E35&lt;&gt;"",E35,IF(D35&lt;&gt;"",D35,IF(C35&lt;&gt;"",C35,IF(B35&lt;&gt;"",B35,""))))))))))))</f>
        <v>0.6</v>
      </c>
      <c r="O35" s="3" t="n">
        <v>0.8</v>
      </c>
      <c r="P35" s="4" t="n">
        <f aca="false">SUMPRODUCT((C35:M35&lt;&gt;"")*(C35:M35&gt;=$O$35))</f>
        <v>0</v>
      </c>
      <c r="Q35" s="4" t="str">
        <f aca="false">IF(P35&gt;=3,"SI","NO")</f>
        <v>NO</v>
      </c>
      <c r="R35" s="4" t="str">
        <f aca="false">IF(N35="","",IF(N35&lt;0.5,"Debil",IF(N35&lt;0.8,"Media","Fuerte")))</f>
        <v>Media</v>
      </c>
      <c r="S35" s="4"/>
      <c r="T35" s="6"/>
    </row>
    <row r="36" customFormat="false" ht="15" hidden="false" customHeight="false" outlineLevel="0" collapsed="false">
      <c r="A36" s="2" t="s">
        <v>77</v>
      </c>
      <c r="B36" s="3" t="n">
        <v>0.55</v>
      </c>
      <c r="C36" s="4"/>
      <c r="D36" s="4"/>
      <c r="E36" s="4"/>
      <c r="F36" s="4"/>
      <c r="G36" s="4"/>
      <c r="H36" s="4"/>
      <c r="I36" s="4"/>
      <c r="J36" s="4"/>
      <c r="K36" s="4"/>
      <c r="L36" s="4"/>
      <c r="M36" s="4"/>
      <c r="N36" s="5" t="n">
        <f aca="false">IF(M36&lt;&gt;"",M36,IF(L36&lt;&gt;"",L36,IF(K36&lt;&gt;"",K36,IF(J36&lt;&gt;"",J36,IF(I36&lt;&gt;"",I36,IF(H36&lt;&gt;"",H36,IF(G36&lt;&gt;"",G36,IF(F36&lt;&gt;"",F36,IF(E36&lt;&gt;"",E36,IF(D36&lt;&gt;"",D36,IF(C36&lt;&gt;"",C36,IF(B36&lt;&gt;"",B36,""))))))))))))</f>
        <v>0.55</v>
      </c>
      <c r="O36" s="3" t="n">
        <v>0.8</v>
      </c>
      <c r="P36" s="4" t="n">
        <f aca="false">SUMPRODUCT((C36:M36&lt;&gt;"")*(C36:M36&gt;=$O$36))</f>
        <v>0</v>
      </c>
      <c r="Q36" s="4" t="str">
        <f aca="false">IF(P36&gt;=3,"SI","NO")</f>
        <v>NO</v>
      </c>
      <c r="R36" s="4" t="str">
        <f aca="false">IF(N36="","",IF(N36&lt;0.5,"Debil",IF(N36&lt;0.8,"Media","Fuerte")))</f>
        <v>Media</v>
      </c>
      <c r="S36" s="4"/>
      <c r="T36" s="6"/>
    </row>
    <row r="37" customFormat="false" ht="64.15" hidden="false" customHeight="false" outlineLevel="0" collapsed="false">
      <c r="A37" s="7" t="s">
        <v>78</v>
      </c>
      <c r="B37" s="8" t="n">
        <v>0.65</v>
      </c>
      <c r="C37" s="9"/>
      <c r="D37" s="9"/>
      <c r="E37" s="9"/>
      <c r="F37" s="9"/>
      <c r="G37" s="9"/>
      <c r="H37" s="9"/>
      <c r="I37" s="9"/>
      <c r="J37" s="8" t="n">
        <v>0.37</v>
      </c>
      <c r="K37" s="9"/>
      <c r="L37" s="9"/>
      <c r="M37" s="8" t="n">
        <v>0.9</v>
      </c>
      <c r="N37" s="10" t="n">
        <f aca="false">IF(M37&lt;&gt;"",M37,IF(L37&lt;&gt;"",L37,IF(K37&lt;&gt;"",K37,IF(J37&lt;&gt;"",J37,IF(I37&lt;&gt;"",I37,IF(H37&lt;&gt;"",H37,IF(G37&lt;&gt;"",G37,IF(F37&lt;&gt;"",F37,IF(E37&lt;&gt;"",E37,IF(D37&lt;&gt;"",D37,IF(C37&lt;&gt;"",C37,IF(B37&lt;&gt;"",B37,""))))))))))))</f>
        <v>0.9</v>
      </c>
      <c r="O37" s="8" t="n">
        <v>0.8</v>
      </c>
      <c r="P37" s="9" t="n">
        <f aca="false">SUMPRODUCT((C37:M37&lt;&gt;"")*(C37:M37&gt;=$O$37))</f>
        <v>1</v>
      </c>
      <c r="Q37" s="9" t="str">
        <f aca="false">IF(P37&gt;=3,"SI","NO")</f>
        <v>NO</v>
      </c>
      <c r="R37" s="9" t="str">
        <f aca="false">IF(N37="","",IF(N37&lt;0.5,"Debil",IF(N37&lt;0.8,"Media","Fuerte")))</f>
        <v>Fuerte</v>
      </c>
      <c r="S37" s="9" t="s">
        <v>24</v>
      </c>
      <c r="T37" s="11" t="s">
        <v>79</v>
      </c>
    </row>
    <row r="38" customFormat="false" ht="22.35" hidden="false" customHeight="false" outlineLevel="0" collapsed="false">
      <c r="A38" s="7" t="s">
        <v>80</v>
      </c>
      <c r="B38" s="8" t="n">
        <v>0.6</v>
      </c>
      <c r="C38" s="9"/>
      <c r="D38" s="9"/>
      <c r="E38" s="9"/>
      <c r="F38" s="9"/>
      <c r="G38" s="9"/>
      <c r="H38" s="9"/>
      <c r="I38" s="9"/>
      <c r="J38" s="9"/>
      <c r="K38" s="9"/>
      <c r="L38" s="9"/>
      <c r="M38" s="9"/>
      <c r="N38" s="10" t="n">
        <f aca="false">IF(M38&lt;&gt;"",M38,IF(L38&lt;&gt;"",L38,IF(K38&lt;&gt;"",K38,IF(J38&lt;&gt;"",J38,IF(I38&lt;&gt;"",I38,IF(H38&lt;&gt;"",H38,IF(G38&lt;&gt;"",G38,IF(F38&lt;&gt;"",F38,IF(E38&lt;&gt;"",E38,IF(D38&lt;&gt;"",D38,IF(C38&lt;&gt;"",C38,IF(B38&lt;&gt;"",B38,""))))))))))))</f>
        <v>0.6</v>
      </c>
      <c r="O38" s="8" t="n">
        <v>0.8</v>
      </c>
      <c r="P38" s="9" t="n">
        <f aca="false">SUMPRODUCT((C38:M38&lt;&gt;"")*(C38:M38&gt;=$O$38))</f>
        <v>0</v>
      </c>
      <c r="Q38" s="9" t="str">
        <f aca="false">IF(P38&gt;=3,"SI","NO")</f>
        <v>NO</v>
      </c>
      <c r="R38" s="9" t="str">
        <f aca="false">IF(N38="","",IF(N38&lt;0.5,"Debil",IF(N38&lt;0.8,"Media","Fuerte")))</f>
        <v>Media</v>
      </c>
      <c r="S38" s="9" t="s">
        <v>24</v>
      </c>
      <c r="T38" s="11" t="s">
        <v>81</v>
      </c>
    </row>
    <row r="39" customFormat="false" ht="15" hidden="false" customHeight="false" outlineLevel="0" collapsed="false">
      <c r="A39" s="2" t="s">
        <v>82</v>
      </c>
      <c r="B39" s="3" t="n">
        <v>0.65</v>
      </c>
      <c r="C39" s="4"/>
      <c r="D39" s="4"/>
      <c r="E39" s="4"/>
      <c r="F39" s="4"/>
      <c r="G39" s="4"/>
      <c r="H39" s="4"/>
      <c r="I39" s="4"/>
      <c r="J39" s="4"/>
      <c r="K39" s="4"/>
      <c r="L39" s="4"/>
      <c r="M39" s="4"/>
      <c r="N39" s="5" t="n">
        <f aca="false">IF(M39&lt;&gt;"",M39,IF(L39&lt;&gt;"",L39,IF(K39&lt;&gt;"",K39,IF(J39&lt;&gt;"",J39,IF(I39&lt;&gt;"",I39,IF(H39&lt;&gt;"",H39,IF(G39&lt;&gt;"",G39,IF(F39&lt;&gt;"",F39,IF(E39&lt;&gt;"",E39,IF(D39&lt;&gt;"",D39,IF(C39&lt;&gt;"",C39,IF(B39&lt;&gt;"",B39,""))))))))))))</f>
        <v>0.65</v>
      </c>
      <c r="O39" s="3" t="n">
        <v>0.8</v>
      </c>
      <c r="P39" s="4" t="n">
        <f aca="false">SUMPRODUCT((C39:M39&lt;&gt;"")*(C39:M39&gt;=$O$39))</f>
        <v>0</v>
      </c>
      <c r="Q39" s="4" t="str">
        <f aca="false">IF(P39&gt;=3,"SI","NO")</f>
        <v>NO</v>
      </c>
      <c r="R39" s="4" t="str">
        <f aca="false">IF(N39="","",IF(N39&lt;0.5,"Debil",IF(N39&lt;0.8,"Media","Fuerte")))</f>
        <v>Media</v>
      </c>
      <c r="S39" s="4"/>
      <c r="T39" s="6"/>
    </row>
    <row r="40" customFormat="false" ht="15" hidden="false" customHeight="false" outlineLevel="0" collapsed="false">
      <c r="A40" s="2" t="s">
        <v>83</v>
      </c>
      <c r="B40" s="3" t="n">
        <v>0.55</v>
      </c>
      <c r="C40" s="4"/>
      <c r="D40" s="4"/>
      <c r="E40" s="4"/>
      <c r="F40" s="4"/>
      <c r="G40" s="4"/>
      <c r="H40" s="4"/>
      <c r="I40" s="4"/>
      <c r="J40" s="4"/>
      <c r="K40" s="4"/>
      <c r="L40" s="4"/>
      <c r="M40" s="4"/>
      <c r="N40" s="5" t="n">
        <f aca="false">IF(M40&lt;&gt;"",M40,IF(L40&lt;&gt;"",L40,IF(K40&lt;&gt;"",K40,IF(J40&lt;&gt;"",J40,IF(I40&lt;&gt;"",I40,IF(H40&lt;&gt;"",H40,IF(G40&lt;&gt;"",G40,IF(F40&lt;&gt;"",F40,IF(E40&lt;&gt;"",E40,IF(D40&lt;&gt;"",D40,IF(C40&lt;&gt;"",C40,IF(B40&lt;&gt;"",B40,""))))))))))))</f>
        <v>0.55</v>
      </c>
      <c r="O40" s="3" t="n">
        <v>0.8</v>
      </c>
      <c r="P40" s="4" t="n">
        <f aca="false">SUMPRODUCT((C40:M40&lt;&gt;"")*(C40:M40&gt;=$O$40))</f>
        <v>0</v>
      </c>
      <c r="Q40" s="4" t="str">
        <f aca="false">IF(P40&gt;=3,"SI","NO")</f>
        <v>NO</v>
      </c>
      <c r="R40" s="4" t="str">
        <f aca="false">IF(N40="","",IF(N40&lt;0.5,"Debil",IF(N40&lt;0.8,"Media","Fuerte")))</f>
        <v>Media</v>
      </c>
      <c r="S40" s="4"/>
      <c r="T40" s="6"/>
    </row>
    <row r="41" customFormat="false" ht="15" hidden="false" customHeight="false" outlineLevel="0" collapsed="false">
      <c r="A41" s="2" t="s">
        <v>84</v>
      </c>
      <c r="B41" s="3" t="n">
        <v>0.2</v>
      </c>
      <c r="C41" s="4"/>
      <c r="D41" s="4"/>
      <c r="E41" s="4"/>
      <c r="F41" s="4"/>
      <c r="G41" s="4"/>
      <c r="H41" s="4"/>
      <c r="I41" s="4"/>
      <c r="J41" s="4"/>
      <c r="K41" s="4"/>
      <c r="L41" s="4"/>
      <c r="M41" s="4"/>
      <c r="N41" s="5" t="n">
        <f aca="false">IF(M41&lt;&gt;"",M41,IF(L41&lt;&gt;"",L41,IF(K41&lt;&gt;"",K41,IF(J41&lt;&gt;"",J41,IF(I41&lt;&gt;"",I41,IF(H41&lt;&gt;"",H41,IF(G41&lt;&gt;"",G41,IF(F41&lt;&gt;"",F41,IF(E41&lt;&gt;"",E41,IF(D41&lt;&gt;"",D41,IF(C41&lt;&gt;"",C41,IF(B41&lt;&gt;"",B41,""))))))))))))</f>
        <v>0.2</v>
      </c>
      <c r="O41" s="3" t="n">
        <v>0.8</v>
      </c>
      <c r="P41" s="4" t="n">
        <f aca="false">SUMPRODUCT((C41:M41&lt;&gt;"")*(C41:M41&gt;=$O$41))</f>
        <v>0</v>
      </c>
      <c r="Q41" s="4" t="str">
        <f aca="false">IF(P41&gt;=3,"SI","NO")</f>
        <v>NO</v>
      </c>
      <c r="R41" s="4" t="str">
        <f aca="false">IF(N41="","",IF(N41&lt;0.5,"Debil",IF(N41&lt;0.8,"Media","Fuerte")))</f>
        <v>Debil</v>
      </c>
      <c r="S41" s="4"/>
      <c r="T41" s="6"/>
    </row>
    <row r="42" customFormat="false" ht="15" hidden="false" customHeight="false" outlineLevel="0" collapsed="false">
      <c r="A42" s="2" t="s">
        <v>85</v>
      </c>
      <c r="B42" s="3" t="n">
        <v>0.1</v>
      </c>
      <c r="C42" s="4"/>
      <c r="D42" s="4"/>
      <c r="E42" s="4"/>
      <c r="F42" s="4"/>
      <c r="G42" s="4"/>
      <c r="H42" s="4"/>
      <c r="I42" s="4"/>
      <c r="J42" s="4"/>
      <c r="K42" s="4"/>
      <c r="L42" s="4"/>
      <c r="M42" s="4"/>
      <c r="N42" s="5" t="n">
        <f aca="false">IF(M42&lt;&gt;"",M42,IF(L42&lt;&gt;"",L42,IF(K42&lt;&gt;"",K42,IF(J42&lt;&gt;"",J42,IF(I42&lt;&gt;"",I42,IF(H42&lt;&gt;"",H42,IF(G42&lt;&gt;"",G42,IF(F42&lt;&gt;"",F42,IF(E42&lt;&gt;"",E42,IF(D42&lt;&gt;"",D42,IF(C42&lt;&gt;"",C42,IF(B42&lt;&gt;"",B42,""))))))))))))</f>
        <v>0.1</v>
      </c>
      <c r="O42" s="3" t="n">
        <v>0.8</v>
      </c>
      <c r="P42" s="4" t="n">
        <f aca="false">SUMPRODUCT((C42:M42&lt;&gt;"")*(C42:M42&gt;=$O$42))</f>
        <v>0</v>
      </c>
      <c r="Q42" s="4" t="str">
        <f aca="false">IF(P42&gt;=3,"SI","NO")</f>
        <v>NO</v>
      </c>
      <c r="R42" s="4" t="str">
        <f aca="false">IF(N42="","",IF(N42&lt;0.5,"Debil",IF(N42&lt;0.8,"Media","Fuerte")))</f>
        <v>Debil</v>
      </c>
      <c r="S42" s="4"/>
      <c r="T42" s="6"/>
    </row>
    <row r="43" customFormat="false" ht="22.35" hidden="false" customHeight="false" outlineLevel="0" collapsed="false">
      <c r="A43" s="2" t="s">
        <v>86</v>
      </c>
      <c r="B43" s="3" t="n">
        <v>0.68</v>
      </c>
      <c r="C43" s="4"/>
      <c r="D43" s="4"/>
      <c r="E43" s="4"/>
      <c r="F43" s="4"/>
      <c r="G43" s="4"/>
      <c r="H43" s="4"/>
      <c r="I43" s="4"/>
      <c r="J43" s="4"/>
      <c r="K43" s="4"/>
      <c r="L43" s="3" t="n">
        <v>0.85</v>
      </c>
      <c r="M43" s="4"/>
      <c r="N43" s="5" t="n">
        <f aca="false">IF(M43&lt;&gt;"",M43,IF(L43&lt;&gt;"",L43,IF(K43&lt;&gt;"",K43,IF(J43&lt;&gt;"",J43,IF(I43&lt;&gt;"",I43,IF(H43&lt;&gt;"",H43,IF(G43&lt;&gt;"",G43,IF(F43&lt;&gt;"",F43,IF(E43&lt;&gt;"",E43,IF(D43&lt;&gt;"",D43,IF(C43&lt;&gt;"",C43,IF(B43&lt;&gt;"",B43,""))))))))))))</f>
        <v>0.85</v>
      </c>
      <c r="O43" s="3" t="n">
        <v>0.8</v>
      </c>
      <c r="P43" s="4" t="n">
        <f aca="false">SUMPRODUCT((C43:M43&lt;&gt;"")*(C43:M43&gt;=$O$43))</f>
        <v>1</v>
      </c>
      <c r="Q43" s="4" t="str">
        <f aca="false">IF(P43&gt;=3,"SI","NO")</f>
        <v>NO</v>
      </c>
      <c r="R43" s="4" t="str">
        <f aca="false">IF(N43="","",IF(N43&lt;0.5,"Debil",IF(N43&lt;0.8,"Media","Fuerte")))</f>
        <v>Fuerte</v>
      </c>
      <c r="S43" s="4"/>
      <c r="T43" s="6" t="s">
        <v>87</v>
      </c>
    </row>
    <row r="44" customFormat="false" ht="15" hidden="false" customHeight="false" outlineLevel="0" collapsed="false">
      <c r="A44" s="2" t="s">
        <v>88</v>
      </c>
      <c r="B44" s="3" t="n">
        <v>0.7</v>
      </c>
      <c r="C44" s="4"/>
      <c r="D44" s="4"/>
      <c r="E44" s="4"/>
      <c r="F44" s="4"/>
      <c r="G44" s="4"/>
      <c r="H44" s="4"/>
      <c r="I44" s="4"/>
      <c r="J44" s="4"/>
      <c r="K44" s="4"/>
      <c r="L44" s="4"/>
      <c r="M44" s="4"/>
      <c r="N44" s="5" t="n">
        <f aca="false">IF(M44&lt;&gt;"",M44,IF(L44&lt;&gt;"",L44,IF(K44&lt;&gt;"",K44,IF(J44&lt;&gt;"",J44,IF(I44&lt;&gt;"",I44,IF(H44&lt;&gt;"",H44,IF(G44&lt;&gt;"",G44,IF(F44&lt;&gt;"",F44,IF(E44&lt;&gt;"",E44,IF(D44&lt;&gt;"",D44,IF(C44&lt;&gt;"",C44,IF(B44&lt;&gt;"",B44,""))))))))))))</f>
        <v>0.7</v>
      </c>
      <c r="O44" s="3" t="n">
        <v>0.8</v>
      </c>
      <c r="P44" s="4" t="n">
        <f aca="false">SUMPRODUCT((C44:M44&lt;&gt;"")*(C44:M44&gt;=$O$44))</f>
        <v>0</v>
      </c>
      <c r="Q44" s="4" t="str">
        <f aca="false">IF(P44&gt;=3,"SI","NO")</f>
        <v>NO</v>
      </c>
      <c r="R44" s="4" t="str">
        <f aca="false">IF(N44="","",IF(N44&lt;0.5,"Debil",IF(N44&lt;0.8,"Media","Fuerte")))</f>
        <v>Media</v>
      </c>
      <c r="S44" s="4"/>
      <c r="T44" s="6"/>
    </row>
    <row r="45" customFormat="false" ht="15" hidden="false" customHeight="false" outlineLevel="0" collapsed="false">
      <c r="A45" s="2" t="s">
        <v>89</v>
      </c>
      <c r="B45" s="3" t="n">
        <v>0.9</v>
      </c>
      <c r="C45" s="3" t="n">
        <v>1</v>
      </c>
      <c r="D45" s="4"/>
      <c r="E45" s="4"/>
      <c r="F45" s="4"/>
      <c r="G45" s="4"/>
      <c r="H45" s="4"/>
      <c r="I45" s="4"/>
      <c r="J45" s="4"/>
      <c r="K45" s="4"/>
      <c r="L45" s="4"/>
      <c r="M45" s="4"/>
      <c r="N45" s="5" t="n">
        <f aca="false">IF(M45&lt;&gt;"",M45,IF(L45&lt;&gt;"",L45,IF(K45&lt;&gt;"",K45,IF(J45&lt;&gt;"",J45,IF(I45&lt;&gt;"",I45,IF(H45&lt;&gt;"",H45,IF(G45&lt;&gt;"",G45,IF(F45&lt;&gt;"",F45,IF(E45&lt;&gt;"",E45,IF(D45&lt;&gt;"",D45,IF(C45&lt;&gt;"",C45,IF(B45&lt;&gt;"",B45,""))))))))))))</f>
        <v>1</v>
      </c>
      <c r="O45" s="3" t="n">
        <v>0.8</v>
      </c>
      <c r="P45" s="4" t="n">
        <f aca="false">SUMPRODUCT((C45:M45&lt;&gt;"")*(C45:M45&gt;=$O$45))</f>
        <v>1</v>
      </c>
      <c r="Q45" s="4" t="str">
        <f aca="false">IF(P45&gt;=3,"SI","NO")</f>
        <v>NO</v>
      </c>
      <c r="R45" s="4" t="str">
        <f aca="false">IF(N45="","",IF(N45&lt;0.5,"Debil",IF(N45&lt;0.8,"Media","Fuerte")))</f>
        <v>Fuerte</v>
      </c>
      <c r="S45" s="4"/>
      <c r="T45" s="6" t="s">
        <v>39</v>
      </c>
    </row>
    <row r="46" customFormat="false" ht="15" hidden="false" customHeight="false" outlineLevel="0" collapsed="false">
      <c r="A46" s="2" t="s">
        <v>90</v>
      </c>
      <c r="B46" s="3" t="n">
        <v>0.55</v>
      </c>
      <c r="C46" s="4"/>
      <c r="D46" s="4"/>
      <c r="E46" s="4"/>
      <c r="F46" s="4"/>
      <c r="G46" s="4"/>
      <c r="H46" s="4"/>
      <c r="I46" s="4"/>
      <c r="J46" s="4"/>
      <c r="K46" s="4"/>
      <c r="L46" s="4"/>
      <c r="M46" s="4"/>
      <c r="N46" s="5" t="n">
        <f aca="false">IF(M46&lt;&gt;"",M46,IF(L46&lt;&gt;"",L46,IF(K46&lt;&gt;"",K46,IF(J46&lt;&gt;"",J46,IF(I46&lt;&gt;"",I46,IF(H46&lt;&gt;"",H46,IF(G46&lt;&gt;"",G46,IF(F46&lt;&gt;"",F46,IF(E46&lt;&gt;"",E46,IF(D46&lt;&gt;"",D46,IF(C46&lt;&gt;"",C46,IF(B46&lt;&gt;"",B46,""))))))))))))</f>
        <v>0.55</v>
      </c>
      <c r="O46" s="3" t="n">
        <v>0.8</v>
      </c>
      <c r="P46" s="4" t="n">
        <f aca="false">SUMPRODUCT((C46:M46&lt;&gt;"")*(C46:M46&gt;=$O$46))</f>
        <v>0</v>
      </c>
      <c r="Q46" s="4" t="str">
        <f aca="false">IF(P46&gt;=3,"SI","NO")</f>
        <v>NO</v>
      </c>
      <c r="R46" s="4" t="str">
        <f aca="false">IF(N46="","",IF(N46&lt;0.5,"Debil",IF(N46&lt;0.8,"Media","Fuerte")))</f>
        <v>Media</v>
      </c>
      <c r="S46" s="4"/>
      <c r="T46" s="6"/>
    </row>
    <row r="47" customFormat="false" ht="32.8" hidden="false" customHeight="false" outlineLevel="0" collapsed="false">
      <c r="A47" s="17" t="s">
        <v>91</v>
      </c>
      <c r="B47" s="18" t="n">
        <v>0.9</v>
      </c>
      <c r="C47" s="18" t="n">
        <v>0.9</v>
      </c>
      <c r="D47" s="19"/>
      <c r="E47" s="19"/>
      <c r="F47" s="19"/>
      <c r="G47" s="19"/>
      <c r="H47" s="19"/>
      <c r="I47" s="19"/>
      <c r="J47" s="19"/>
      <c r="K47" s="19"/>
      <c r="L47" s="18" t="n">
        <v>0.95</v>
      </c>
      <c r="M47" s="19"/>
      <c r="N47" s="20" t="n">
        <f aca="false">IF(M47&lt;&gt;"",M47,IF(L47&lt;&gt;"",L47,IF(K47&lt;&gt;"",K47,IF(J47&lt;&gt;"",J47,IF(I47&lt;&gt;"",I47,IF(H47&lt;&gt;"",H47,IF(G47&lt;&gt;"",G47,IF(F47&lt;&gt;"",F47,IF(E47&lt;&gt;"",E47,IF(D47&lt;&gt;"",D47,IF(C47&lt;&gt;"",C47,IF(B47&lt;&gt;"",B47,""))))))))))))</f>
        <v>0.95</v>
      </c>
      <c r="O47" s="18" t="n">
        <v>0.8</v>
      </c>
      <c r="P47" s="19" t="n">
        <f aca="false">SUMPRODUCT((C47:M47&lt;&gt;"")*(C47:M47&gt;=$O$47))</f>
        <v>2</v>
      </c>
      <c r="Q47" s="19" t="str">
        <f aca="false">IF(P47&gt;=3,"SI","NO")</f>
        <v>NO</v>
      </c>
      <c r="R47" s="19" t="str">
        <f aca="false">IF(N47="","",IF(N47&lt;0.5,"Debil",IF(N47&lt;0.8,"Media","Fuerte")))</f>
        <v>Fuerte</v>
      </c>
      <c r="S47" s="19"/>
      <c r="T47" s="21" t="s">
        <v>92</v>
      </c>
    </row>
    <row r="48" customFormat="false" ht="15" hidden="false" customHeight="false" outlineLevel="0" collapsed="false">
      <c r="A48" s="2" t="s">
        <v>93</v>
      </c>
      <c r="B48" s="3" t="n">
        <v>0.5</v>
      </c>
      <c r="C48" s="4"/>
      <c r="D48" s="4"/>
      <c r="E48" s="4"/>
      <c r="F48" s="4"/>
      <c r="G48" s="4"/>
      <c r="H48" s="4"/>
      <c r="I48" s="4"/>
      <c r="J48" s="4"/>
      <c r="K48" s="4"/>
      <c r="L48" s="4"/>
      <c r="M48" s="4"/>
      <c r="N48" s="5" t="n">
        <f aca="false">IF(M48&lt;&gt;"",M48,IF(L48&lt;&gt;"",L48,IF(K48&lt;&gt;"",K48,IF(J48&lt;&gt;"",J48,IF(I48&lt;&gt;"",I48,IF(H48&lt;&gt;"",H48,IF(G48&lt;&gt;"",G48,IF(F48&lt;&gt;"",F48,IF(E48&lt;&gt;"",E48,IF(D48&lt;&gt;"",D48,IF(C48&lt;&gt;"",C48,IF(B48&lt;&gt;"",B48,""))))))))))))</f>
        <v>0.5</v>
      </c>
      <c r="O48" s="3" t="n">
        <v>0.8</v>
      </c>
      <c r="P48" s="4" t="n">
        <f aca="false">SUMPRODUCT((C48:M48&lt;&gt;"")*(C48:M48&gt;=$O$48))</f>
        <v>0</v>
      </c>
      <c r="Q48" s="4" t="str">
        <f aca="false">IF(P48&gt;=3,"SI","NO")</f>
        <v>NO</v>
      </c>
      <c r="R48" s="4" t="str">
        <f aca="false">IF(N48="","",IF(N48&lt;0.5,"Debil",IF(N48&lt;0.8,"Media","Fuerte")))</f>
        <v>Media</v>
      </c>
      <c r="S48" s="4"/>
      <c r="T48" s="6"/>
    </row>
    <row r="49" customFormat="false" ht="15" hidden="false" customHeight="false" outlineLevel="0" collapsed="false">
      <c r="A49" s="2" t="s">
        <v>94</v>
      </c>
      <c r="B49" s="3" t="n">
        <v>0.9</v>
      </c>
      <c r="C49" s="4"/>
      <c r="D49" s="4"/>
      <c r="E49" s="4"/>
      <c r="F49" s="4"/>
      <c r="G49" s="4"/>
      <c r="H49" s="4"/>
      <c r="I49" s="4"/>
      <c r="J49" s="4"/>
      <c r="K49" s="4"/>
      <c r="L49" s="4"/>
      <c r="M49" s="4"/>
      <c r="N49" s="5" t="n">
        <f aca="false">IF(M49&lt;&gt;"",M49,IF(L49&lt;&gt;"",L49,IF(K49&lt;&gt;"",K49,IF(J49&lt;&gt;"",J49,IF(I49&lt;&gt;"",I49,IF(H49&lt;&gt;"",H49,IF(G49&lt;&gt;"",G49,IF(F49&lt;&gt;"",F49,IF(E49&lt;&gt;"",E49,IF(D49&lt;&gt;"",D49,IF(C49&lt;&gt;"",C49,IF(B49&lt;&gt;"",B49,""))))))))))))</f>
        <v>0.9</v>
      </c>
      <c r="O49" s="3" t="n">
        <v>0.8</v>
      </c>
      <c r="P49" s="4" t="n">
        <f aca="false">SUMPRODUCT((C49:M49&lt;&gt;"")*(C49:M49&gt;=$O$49))</f>
        <v>0</v>
      </c>
      <c r="Q49" s="4" t="str">
        <f aca="false">IF(P49&gt;=3,"SI","NO")</f>
        <v>NO</v>
      </c>
      <c r="R49" s="4" t="str">
        <f aca="false">IF(N49="","",IF(N49&lt;0.5,"Debil",IF(N49&lt;0.8,"Media","Fuerte")))</f>
        <v>Fuerte</v>
      </c>
      <c r="S49" s="4"/>
      <c r="T49" s="6"/>
    </row>
    <row r="50" customFormat="false" ht="15" hidden="false" customHeight="false" outlineLevel="0" collapsed="false">
      <c r="A50" s="2" t="s">
        <v>95</v>
      </c>
      <c r="B50" s="3" t="n">
        <v>0.55</v>
      </c>
      <c r="C50" s="4"/>
      <c r="D50" s="4"/>
      <c r="E50" s="4"/>
      <c r="F50" s="4"/>
      <c r="G50" s="4"/>
      <c r="H50" s="4"/>
      <c r="I50" s="4"/>
      <c r="J50" s="4"/>
      <c r="K50" s="4"/>
      <c r="L50" s="4"/>
      <c r="M50" s="4"/>
      <c r="N50" s="5" t="n">
        <f aca="false">IF(M50&lt;&gt;"",M50,IF(L50&lt;&gt;"",L50,IF(K50&lt;&gt;"",K50,IF(J50&lt;&gt;"",J50,IF(I50&lt;&gt;"",I50,IF(H50&lt;&gt;"",H50,IF(G50&lt;&gt;"",G50,IF(F50&lt;&gt;"",F50,IF(E50&lt;&gt;"",E50,IF(D50&lt;&gt;"",D50,IF(C50&lt;&gt;"",C50,IF(B50&lt;&gt;"",B50,""))))))))))))</f>
        <v>0.55</v>
      </c>
      <c r="O50" s="3" t="n">
        <v>0.8</v>
      </c>
      <c r="P50" s="4" t="n">
        <f aca="false">SUMPRODUCT((C50:M50&lt;&gt;"")*(C50:M50&gt;=$O$50))</f>
        <v>0</v>
      </c>
      <c r="Q50" s="4" t="str">
        <f aca="false">IF(P50&gt;=3,"SI","NO")</f>
        <v>NO</v>
      </c>
      <c r="R50" s="4" t="str">
        <f aca="false">IF(N50="","",IF(N50&lt;0.5,"Debil",IF(N50&lt;0.8,"Media","Fuerte")))</f>
        <v>Media</v>
      </c>
      <c r="S50" s="4"/>
      <c r="T50" s="6"/>
    </row>
    <row r="51" customFormat="false" ht="15" hidden="false" customHeight="false" outlineLevel="0" collapsed="false">
      <c r="A51" s="2" t="s">
        <v>96</v>
      </c>
      <c r="B51" s="3" t="n">
        <v>0</v>
      </c>
      <c r="C51" s="4"/>
      <c r="D51" s="4"/>
      <c r="E51" s="4"/>
      <c r="F51" s="4"/>
      <c r="G51" s="4"/>
      <c r="H51" s="4"/>
      <c r="I51" s="4"/>
      <c r="J51" s="4"/>
      <c r="K51" s="4"/>
      <c r="L51" s="4"/>
      <c r="M51" s="4"/>
      <c r="N51" s="5" t="n">
        <f aca="false">IF(M51&lt;&gt;"",M51,IF(L51&lt;&gt;"",L51,IF(K51&lt;&gt;"",K51,IF(J51&lt;&gt;"",J51,IF(I51&lt;&gt;"",I51,IF(H51&lt;&gt;"",H51,IF(G51&lt;&gt;"",G51,IF(F51&lt;&gt;"",F51,IF(E51&lt;&gt;"",E51,IF(D51&lt;&gt;"",D51,IF(C51&lt;&gt;"",C51,IF(B51&lt;&gt;"",B51,""))))))))))))</f>
        <v>0</v>
      </c>
      <c r="O51" s="3" t="n">
        <v>0.8</v>
      </c>
      <c r="P51" s="4" t="n">
        <f aca="false">SUMPRODUCT((C51:M51&lt;&gt;"")*(C51:M51&gt;=$O$51))</f>
        <v>0</v>
      </c>
      <c r="Q51" s="4" t="str">
        <f aca="false">IF(P51&gt;=3,"SI","NO")</f>
        <v>NO</v>
      </c>
      <c r="R51" s="4" t="str">
        <f aca="false">IF(N51="","",IF(N51&lt;0.5,"Debil",IF(N51&lt;0.8,"Media","Fuerte")))</f>
        <v>Debil</v>
      </c>
      <c r="S51" s="4"/>
      <c r="T51" s="6"/>
    </row>
    <row r="52" customFormat="false" ht="22.35" hidden="false" customHeight="false" outlineLevel="0" collapsed="false">
      <c r="A52" s="17" t="s">
        <v>97</v>
      </c>
      <c r="B52" s="19"/>
      <c r="C52" s="19"/>
      <c r="D52" s="18" t="n">
        <v>0.15</v>
      </c>
      <c r="E52" s="18" t="n">
        <v>0.3</v>
      </c>
      <c r="F52" s="18" t="n">
        <v>0.15</v>
      </c>
      <c r="G52" s="18" t="n">
        <v>0.1</v>
      </c>
      <c r="H52" s="18" t="n">
        <v>1</v>
      </c>
      <c r="I52" s="18" t="n">
        <v>1</v>
      </c>
      <c r="J52" s="18" t="n">
        <v>1</v>
      </c>
      <c r="K52" s="19"/>
      <c r="L52" s="19"/>
      <c r="M52" s="19"/>
      <c r="N52" s="20" t="n">
        <f aca="false">IF(M52&lt;&gt;"",M52,IF(L52&lt;&gt;"",L52,IF(K52&lt;&gt;"",K52,IF(J52&lt;&gt;"",J52,IF(I52&lt;&gt;"",I52,IF(H52&lt;&gt;"",H52,IF(G52&lt;&gt;"",G52,IF(F52&lt;&gt;"",F52,IF(E52&lt;&gt;"",E52,IF(D52&lt;&gt;"",D52,IF(C52&lt;&gt;"",C52,IF(B52&lt;&gt;"",B52,""))))))))))))</f>
        <v>1</v>
      </c>
      <c r="O52" s="18" t="n">
        <v>0.8</v>
      </c>
      <c r="P52" s="19" t="n">
        <f aca="false">SUMPRODUCT((C52:M52&lt;&gt;"")*(C52:M52&gt;=$O$52))</f>
        <v>3</v>
      </c>
      <c r="Q52" s="19" t="str">
        <f aca="false">IF(P52&gt;=3,"SI","NO")</f>
        <v>SI</v>
      </c>
      <c r="R52" s="19" t="str">
        <f aca="false">IF(N52="","",IF(N52&lt;0.5,"Debil",IF(N52&lt;0.8,"Media","Fuerte")))</f>
        <v>Fuerte</v>
      </c>
      <c r="S52" s="19" t="s">
        <v>98</v>
      </c>
      <c r="T52" s="21" t="s">
        <v>99</v>
      </c>
    </row>
    <row r="53" customFormat="false" ht="43.25" hidden="false" customHeight="false" outlineLevel="0" collapsed="false">
      <c r="A53" s="2" t="s">
        <v>100</v>
      </c>
      <c r="B53" s="4"/>
      <c r="C53" s="4"/>
      <c r="D53" s="4"/>
      <c r="E53" s="4"/>
      <c r="F53" s="4"/>
      <c r="G53" s="4"/>
      <c r="H53" s="4"/>
      <c r="I53" s="3" t="n">
        <v>0.3</v>
      </c>
      <c r="J53" s="3" t="n">
        <v>0.4</v>
      </c>
      <c r="K53" s="3" t="n">
        <v>0.68</v>
      </c>
      <c r="L53" s="4"/>
      <c r="M53" s="3" t="n">
        <v>0.87</v>
      </c>
      <c r="N53" s="5" t="n">
        <f aca="false">IF(M53&lt;&gt;"",M53,IF(L53&lt;&gt;"",L53,IF(K53&lt;&gt;"",K53,IF(J53&lt;&gt;"",J53,IF(I53&lt;&gt;"",I53,IF(H53&lt;&gt;"",H53,IF(G53&lt;&gt;"",G53,IF(F53&lt;&gt;"",F53,IF(E53&lt;&gt;"",E53,IF(D53&lt;&gt;"",D53,IF(C53&lt;&gt;"",C53,IF(B53&lt;&gt;"",B53,""))))))))))))</f>
        <v>0.87</v>
      </c>
      <c r="O53" s="3" t="n">
        <v>0.8</v>
      </c>
      <c r="P53" s="4" t="n">
        <f aca="false">SUMPRODUCT((C53:M53&lt;&gt;"")*(C53:M53&gt;=$O$53))</f>
        <v>1</v>
      </c>
      <c r="Q53" s="4" t="str">
        <f aca="false">IF(P53&gt;=3,"SI","NO")</f>
        <v>NO</v>
      </c>
      <c r="R53" s="4" t="str">
        <f aca="false">IF(N53="","",IF(N53&lt;0.5,"Debil",IF(N53&lt;0.8,"Media","Fuerte")))</f>
        <v>Fuerte</v>
      </c>
      <c r="S53" s="4" t="s">
        <v>101</v>
      </c>
      <c r="T53" s="6" t="s">
        <v>102</v>
      </c>
    </row>
    <row r="54" customFormat="false" ht="32.8" hidden="false" customHeight="false" outlineLevel="0" collapsed="false">
      <c r="A54" s="2" t="s">
        <v>103</v>
      </c>
      <c r="B54" s="4"/>
      <c r="C54" s="4"/>
      <c r="D54" s="4"/>
      <c r="E54" s="4"/>
      <c r="F54" s="4"/>
      <c r="G54" s="4"/>
      <c r="H54" s="4"/>
      <c r="I54" s="4"/>
      <c r="J54" s="3" t="n">
        <v>0.2</v>
      </c>
      <c r="K54" s="3" t="n">
        <v>0.88</v>
      </c>
      <c r="L54" s="4"/>
      <c r="M54" s="4"/>
      <c r="N54" s="5" t="n">
        <f aca="false">IF(M54&lt;&gt;"",M54,IF(L54&lt;&gt;"",L54,IF(K54&lt;&gt;"",K54,IF(J54&lt;&gt;"",J54,IF(I54&lt;&gt;"",I54,IF(H54&lt;&gt;"",H54,IF(G54&lt;&gt;"",G54,IF(F54&lt;&gt;"",F54,IF(E54&lt;&gt;"",E54,IF(D54&lt;&gt;"",D54,IF(C54&lt;&gt;"",C54,IF(B54&lt;&gt;"",B54,""))))))))))))</f>
        <v>0.88</v>
      </c>
      <c r="O54" s="3" t="n">
        <v>0.8</v>
      </c>
      <c r="P54" s="4" t="n">
        <f aca="false">SUMPRODUCT((C54:M54&lt;&gt;"")*(C54:M54&gt;=$O$54))</f>
        <v>1</v>
      </c>
      <c r="Q54" s="4" t="str">
        <f aca="false">IF(P54&gt;=3,"SI","NO")</f>
        <v>NO</v>
      </c>
      <c r="R54" s="4" t="str">
        <f aca="false">IF(N54="","",IF(N54&lt;0.5,"Debil",IF(N54&lt;0.8,"Media","Fuerte")))</f>
        <v>Fuerte</v>
      </c>
      <c r="S54" s="4" t="s">
        <v>101</v>
      </c>
      <c r="T54" s="6" t="s">
        <v>104</v>
      </c>
    </row>
    <row r="55" customFormat="false" ht="22.35" hidden="false" customHeight="false" outlineLevel="0" collapsed="false">
      <c r="A55" s="2" t="s">
        <v>105</v>
      </c>
      <c r="B55" s="4"/>
      <c r="C55" s="4"/>
      <c r="D55" s="4"/>
      <c r="E55" s="4"/>
      <c r="F55" s="4"/>
      <c r="G55" s="4"/>
      <c r="H55" s="4"/>
      <c r="I55" s="3" t="n">
        <v>0.2</v>
      </c>
      <c r="J55" s="3" t="n">
        <v>0.45</v>
      </c>
      <c r="K55" s="3" t="n">
        <v>0.95</v>
      </c>
      <c r="L55" s="4"/>
      <c r="M55" s="4"/>
      <c r="N55" s="5" t="n">
        <f aca="false">IF(M55&lt;&gt;"",M55,IF(L55&lt;&gt;"",L55,IF(K55&lt;&gt;"",K55,IF(J55&lt;&gt;"",J55,IF(I55&lt;&gt;"",I55,IF(H55&lt;&gt;"",H55,IF(G55&lt;&gt;"",G55,IF(F55&lt;&gt;"",F55,IF(E55&lt;&gt;"",E55,IF(D55&lt;&gt;"",D55,IF(C55&lt;&gt;"",C55,IF(B55&lt;&gt;"",B55,""))))))))))))</f>
        <v>0.95</v>
      </c>
      <c r="O55" s="3" t="n">
        <v>0.8</v>
      </c>
      <c r="P55" s="4" t="n">
        <f aca="false">SUMPRODUCT((C55:M55&lt;&gt;"")*(C55:M55&gt;=$O$55))</f>
        <v>1</v>
      </c>
      <c r="Q55" s="4" t="str">
        <f aca="false">IF(P55&gt;=3,"SI","NO")</f>
        <v>NO</v>
      </c>
      <c r="R55" s="4" t="str">
        <f aca="false">IF(N55="","",IF(N55&lt;0.5,"Debil",IF(N55&lt;0.8,"Media","Fuerte")))</f>
        <v>Fuerte</v>
      </c>
      <c r="S55" s="4" t="s">
        <v>101</v>
      </c>
      <c r="T55" s="6" t="s">
        <v>106</v>
      </c>
    </row>
    <row r="56" customFormat="false" ht="15" hidden="false" customHeight="false" outlineLevel="0" collapsed="false">
      <c r="A56" s="2" t="s">
        <v>107</v>
      </c>
      <c r="B56" s="4"/>
      <c r="C56" s="4"/>
      <c r="D56" s="4"/>
      <c r="E56" s="4"/>
      <c r="F56" s="4"/>
      <c r="G56" s="4"/>
      <c r="H56" s="4"/>
      <c r="I56" s="4"/>
      <c r="J56" s="4"/>
      <c r="K56" s="4"/>
      <c r="L56" s="4"/>
      <c r="M56" s="4"/>
      <c r="N56" s="5" t="str">
        <f aca="false">IF(M56&lt;&gt;"",M56,IF(L56&lt;&gt;"",L56,IF(K56&lt;&gt;"",K56,IF(J56&lt;&gt;"",J56,IF(I56&lt;&gt;"",I56,IF(H56&lt;&gt;"",H56,IF(G56&lt;&gt;"",G56,IF(F56&lt;&gt;"",F56,IF(E56&lt;&gt;"",E56,IF(D56&lt;&gt;"",D56,IF(C56&lt;&gt;"",C56,IF(B56&lt;&gt;"",B56,""))))))))))))</f>
        <v/>
      </c>
      <c r="O56" s="3" t="n">
        <v>0.8</v>
      </c>
      <c r="P56" s="4" t="n">
        <f aca="false">SUMPRODUCT((C56:M56&lt;&gt;"")*(C56:M56&gt;=$O$56))</f>
        <v>0</v>
      </c>
      <c r="Q56" s="4" t="str">
        <f aca="false">IF(P56&gt;=3,"SI","NO")</f>
        <v>NO</v>
      </c>
      <c r="R56" s="4" t="str">
        <f aca="false">IF(N56="","",IF(N56&lt;0.5,"Debil",IF(N56&lt;0.8,"Media","Fuerte")))</f>
        <v/>
      </c>
      <c r="S56" s="4" t="s">
        <v>101</v>
      </c>
      <c r="T56" s="6" t="s">
        <v>108</v>
      </c>
    </row>
    <row r="57" customFormat="false" ht="15" hidden="false" customHeight="false" outlineLevel="0" collapsed="false">
      <c r="A57" s="2" t="s">
        <v>109</v>
      </c>
      <c r="B57" s="4"/>
      <c r="C57" s="4"/>
      <c r="D57" s="4"/>
      <c r="E57" s="4"/>
      <c r="F57" s="4"/>
      <c r="G57" s="4"/>
      <c r="H57" s="4"/>
      <c r="I57" s="4"/>
      <c r="J57" s="4"/>
      <c r="K57" s="4"/>
      <c r="L57" s="4"/>
      <c r="M57" s="4"/>
      <c r="N57" s="5" t="str">
        <f aca="false">IF(M57&lt;&gt;"",M57,IF(L57&lt;&gt;"",L57,IF(K57&lt;&gt;"",K57,IF(J57&lt;&gt;"",J57,IF(I57&lt;&gt;"",I57,IF(H57&lt;&gt;"",H57,IF(G57&lt;&gt;"",G57,IF(F57&lt;&gt;"",F57,IF(E57&lt;&gt;"",E57,IF(D57&lt;&gt;"",D57,IF(C57&lt;&gt;"",C57,IF(B57&lt;&gt;"",B57,""))))))))))))</f>
        <v/>
      </c>
      <c r="O57" s="3" t="n">
        <v>0.8</v>
      </c>
      <c r="P57" s="4" t="n">
        <f aca="false">SUMPRODUCT((C57:M57&lt;&gt;"")*(C57:M57&gt;=$O$57))</f>
        <v>0</v>
      </c>
      <c r="Q57" s="4" t="str">
        <f aca="false">IF(P57&gt;=3,"SI","NO")</f>
        <v>NO</v>
      </c>
      <c r="R57" s="4" t="str">
        <f aca="false">IF(N57="","",IF(N57&lt;0.5,"Debil",IF(N57&lt;0.8,"Media","Fuerte")))</f>
        <v/>
      </c>
      <c r="S57" s="4"/>
      <c r="T57" s="6" t="s">
        <v>110</v>
      </c>
    </row>
    <row r="58" customFormat="false" ht="15" hidden="false" customHeight="false" outlineLevel="0" collapsed="false">
      <c r="A58" s="2" t="s">
        <v>111</v>
      </c>
      <c r="B58" s="4"/>
      <c r="C58" s="4"/>
      <c r="D58" s="4"/>
      <c r="E58" s="4"/>
      <c r="F58" s="4"/>
      <c r="G58" s="4"/>
      <c r="H58" s="4"/>
      <c r="I58" s="4"/>
      <c r="J58" s="4"/>
      <c r="K58" s="4"/>
      <c r="L58" s="4"/>
      <c r="M58" s="4"/>
      <c r="N58" s="5" t="str">
        <f aca="false">IF(M58&lt;&gt;"",M58,IF(L58&lt;&gt;"",L58,IF(K58&lt;&gt;"",K58,IF(J58&lt;&gt;"",J58,IF(I58&lt;&gt;"",I58,IF(H58&lt;&gt;"",H58,IF(G58&lt;&gt;"",G58,IF(F58&lt;&gt;"",F58,IF(E58&lt;&gt;"",E58,IF(D58&lt;&gt;"",D58,IF(C58&lt;&gt;"",C58,IF(B58&lt;&gt;"",B58,""))))))))))))</f>
        <v/>
      </c>
      <c r="O58" s="3" t="n">
        <v>0.8</v>
      </c>
      <c r="P58" s="4" t="n">
        <f aca="false">SUMPRODUCT((C58:M58&lt;&gt;"")*(C58:M58&gt;=$O$58))</f>
        <v>0</v>
      </c>
      <c r="Q58" s="4" t="str">
        <f aca="false">IF(P58&gt;=3,"SI","NO")</f>
        <v>NO</v>
      </c>
      <c r="R58" s="4" t="str">
        <f aca="false">IF(N58="","",IF(N58&lt;0.5,"Debil",IF(N58&lt;0.8,"Media","Fuerte")))</f>
        <v/>
      </c>
      <c r="S58" s="4"/>
      <c r="T58" s="6" t="s">
        <v>110</v>
      </c>
    </row>
    <row r="59" customFormat="false" ht="15" hidden="false" customHeight="false" outlineLevel="0" collapsed="false">
      <c r="A59" s="2" t="s">
        <v>112</v>
      </c>
      <c r="B59" s="4"/>
      <c r="C59" s="4"/>
      <c r="D59" s="4"/>
      <c r="E59" s="4"/>
      <c r="F59" s="4"/>
      <c r="G59" s="4"/>
      <c r="H59" s="4"/>
      <c r="I59" s="4"/>
      <c r="J59" s="4"/>
      <c r="K59" s="4"/>
      <c r="L59" s="4"/>
      <c r="M59" s="4"/>
      <c r="N59" s="5" t="str">
        <f aca="false">IF(M59&lt;&gt;"",M59,IF(L59&lt;&gt;"",L59,IF(K59&lt;&gt;"",K59,IF(J59&lt;&gt;"",J59,IF(I59&lt;&gt;"",I59,IF(H59&lt;&gt;"",H59,IF(G59&lt;&gt;"",G59,IF(F59&lt;&gt;"",F59,IF(E59&lt;&gt;"",E59,IF(D59&lt;&gt;"",D59,IF(C59&lt;&gt;"",C59,IF(B59&lt;&gt;"",B59,""))))))))))))</f>
        <v/>
      </c>
      <c r="O59" s="3" t="n">
        <v>0.8</v>
      </c>
      <c r="P59" s="4" t="n">
        <f aca="false">SUMPRODUCT((C59:M59&lt;&gt;"")*(C59:M59&gt;=$O$59))</f>
        <v>0</v>
      </c>
      <c r="Q59" s="4" t="str">
        <f aca="false">IF(P59&gt;=3,"SI","NO")</f>
        <v>NO</v>
      </c>
      <c r="R59" s="4" t="str">
        <f aca="false">IF(N59="","",IF(N59&lt;0.5,"Debil",IF(N59&lt;0.8,"Media","Fuerte")))</f>
        <v/>
      </c>
      <c r="S59" s="4"/>
      <c r="T59" s="6" t="s">
        <v>110</v>
      </c>
    </row>
    <row r="60" customFormat="false" ht="22.35" hidden="false" customHeight="false" outlineLevel="0" collapsed="false">
      <c r="A60" s="2" t="s">
        <v>113</v>
      </c>
      <c r="B60" s="4"/>
      <c r="C60" s="4"/>
      <c r="D60" s="4"/>
      <c r="E60" s="4"/>
      <c r="F60" s="4"/>
      <c r="G60" s="4"/>
      <c r="H60" s="4"/>
      <c r="I60" s="4"/>
      <c r="J60" s="4"/>
      <c r="K60" s="4"/>
      <c r="L60" s="4"/>
      <c r="M60" s="4"/>
      <c r="N60" s="5" t="str">
        <f aca="false">IF(M60&lt;&gt;"",M60,IF(L60&lt;&gt;"",L60,IF(K60&lt;&gt;"",K60,IF(J60&lt;&gt;"",J60,IF(I60&lt;&gt;"",I60,IF(H60&lt;&gt;"",H60,IF(G60&lt;&gt;"",G60,IF(F60&lt;&gt;"",F60,IF(E60&lt;&gt;"",E60,IF(D60&lt;&gt;"",D60,IF(C60&lt;&gt;"",C60,IF(B60&lt;&gt;"",B60,""))))))))))))</f>
        <v/>
      </c>
      <c r="O60" s="3" t="n">
        <v>0.8</v>
      </c>
      <c r="P60" s="4" t="n">
        <f aca="false">SUMPRODUCT((C60:M60&lt;&gt;"")*(C60:M60&gt;=$O$60))</f>
        <v>0</v>
      </c>
      <c r="Q60" s="4" t="str">
        <f aca="false">IF(P60&gt;=3,"SI","NO")</f>
        <v>NO</v>
      </c>
      <c r="R60" s="4" t="str">
        <f aca="false">IF(N60="","",IF(N60&lt;0.5,"Debil",IF(N60&lt;0.8,"Media","Fuerte")))</f>
        <v/>
      </c>
      <c r="S60" s="4"/>
      <c r="T60" s="6" t="s">
        <v>114</v>
      </c>
    </row>
  </sheetData>
  <autoFilter ref="A1:T60"/>
  <conditionalFormatting sqref="N2:N60">
    <cfRule type="colorScale" priority="2">
      <colorScale>
        <cfvo type="num" val="0"/>
        <cfvo type="num" val="0.65"/>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5"/>
  </cols>
  <sheetData>
    <row r="1" customFormat="false" ht="15" hidden="false" customHeight="false" outlineLevel="0" collapsed="false">
      <c r="A1" s="22" t="s">
        <v>115</v>
      </c>
      <c r="B1" s="23"/>
    </row>
    <row r="2" customFormat="false" ht="39.75" hidden="false" customHeight="true" outlineLevel="0" collapsed="false">
      <c r="A2" s="24" t="s">
        <v>1</v>
      </c>
      <c r="B2" s="23" t="s">
        <v>116</v>
      </c>
    </row>
    <row r="3" customFormat="false" ht="39.75" hidden="false" customHeight="true" outlineLevel="0" collapsed="false">
      <c r="A3" s="24" t="s">
        <v>117</v>
      </c>
      <c r="B3" s="23" t="s">
        <v>118</v>
      </c>
    </row>
    <row r="4" customFormat="false" ht="39.75" hidden="false" customHeight="true" outlineLevel="0" collapsed="false">
      <c r="A4" s="24" t="s">
        <v>13</v>
      </c>
      <c r="B4" s="23" t="s">
        <v>119</v>
      </c>
    </row>
    <row r="5" customFormat="false" ht="39.75" hidden="false" customHeight="true" outlineLevel="0" collapsed="false">
      <c r="A5" s="24" t="s">
        <v>14</v>
      </c>
      <c r="B5" s="23" t="s">
        <v>120</v>
      </c>
    </row>
    <row r="6" customFormat="false" ht="39.75" hidden="false" customHeight="true" outlineLevel="0" collapsed="false">
      <c r="A6" s="24" t="s">
        <v>121</v>
      </c>
      <c r="B6" s="23" t="s">
        <v>122</v>
      </c>
    </row>
    <row r="7" customFormat="false" ht="39.75" hidden="false" customHeight="true" outlineLevel="0" collapsed="false">
      <c r="A7" s="24" t="s">
        <v>16</v>
      </c>
      <c r="B7" s="23" t="s">
        <v>123</v>
      </c>
    </row>
    <row r="8" customFormat="false" ht="39.75" hidden="false" customHeight="true" outlineLevel="0" collapsed="false">
      <c r="A8" s="24" t="s">
        <v>17</v>
      </c>
      <c r="B8" s="23" t="s">
        <v>124</v>
      </c>
    </row>
    <row r="9" customFormat="false" ht="39.75" hidden="false" customHeight="true" outlineLevel="0" collapsed="false">
      <c r="A9" s="24" t="s">
        <v>125</v>
      </c>
      <c r="B9" s="23" t="s">
        <v>126</v>
      </c>
    </row>
    <row r="10" customFormat="false" ht="39.75" hidden="false" customHeight="true" outlineLevel="0" collapsed="false">
      <c r="A10" s="24" t="s">
        <v>127</v>
      </c>
      <c r="B10" s="23" t="s">
        <v>128</v>
      </c>
    </row>
    <row r="11" customFormat="false" ht="39.75" hidden="false" customHeight="true" outlineLevel="0" collapsed="false">
      <c r="A11" s="24" t="s">
        <v>129</v>
      </c>
      <c r="B11" s="23" t="s">
        <v>130</v>
      </c>
    </row>
    <row r="12" customFormat="false" ht="39.75" hidden="false" customHeight="true" outlineLevel="0" collapsed="false">
      <c r="A12" s="22"/>
      <c r="B12" s="23"/>
    </row>
    <row r="13" customFormat="false" ht="39.75" hidden="false" customHeight="true" outlineLevel="0" collapsed="false">
      <c r="A13" s="24" t="s">
        <v>131</v>
      </c>
      <c r="B13" s="23" t="s">
        <v>132</v>
      </c>
    </row>
    <row r="14" customFormat="false" ht="39.75" hidden="false" customHeight="true" outlineLevel="0" collapsed="false">
      <c r="A14" s="24" t="s">
        <v>133</v>
      </c>
      <c r="B14" s="23" t="s">
        <v>134</v>
      </c>
    </row>
    <row r="15" customFormat="false" ht="39.75" hidden="false" customHeight="true" outlineLevel="0" collapsed="false">
      <c r="A15" s="24" t="s">
        <v>135</v>
      </c>
      <c r="B15" s="23" t="s">
        <v>136</v>
      </c>
    </row>
    <row r="16" customFormat="false" ht="39.75" hidden="false" customHeight="true" outlineLevel="0" collapsed="false">
      <c r="A16" s="24" t="s">
        <v>137</v>
      </c>
      <c r="B16" s="23"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2026-09-06T17:40:49Z</dcterms:created>
  <dc:creator>openpyxl</dc:creator>
  <dc:description/>
  <dc:language>en-US</dc:language>
  <cp:lastModifiedBy/>
  <dcterms:modified xsi:type="dcterms:W3CDTF">2026-09-06T17:40:49Z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